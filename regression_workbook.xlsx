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826DF50-7386-4107-80F5-D8E97B28AAD5}" xr6:coauthVersionLast="47" xr6:coauthVersionMax="47" xr10:uidLastSave="{00000000-0000-0000-0000-000000000000}"/>
  <bookViews>
    <workbookView xWindow="-110" yWindow="-110" windowWidth="19420" windowHeight="10300" firstSheet="5" activeTab="8" xr2:uid="{BCE63E58-A39B-4F87-9CB6-5ED6BC8C8E62}"/>
  </bookViews>
  <sheets>
    <sheet name="orignal_data" sheetId="1" r:id="rId1"/>
    <sheet name="cleaned_data" sheetId="2" r:id="rId2"/>
    <sheet name="dummy_variables " sheetId="3" r:id="rId3"/>
    <sheet name="footfall_regression " sheetId="11" r:id="rId4"/>
    <sheet name="marketing_regression" sheetId="10" r:id="rId5"/>
    <sheet name="simple_regression " sheetId="4" r:id="rId6"/>
    <sheet name="multiple_regression_output" sheetId="13" r:id="rId7"/>
    <sheet name="multiple_regression " sheetId="6" r:id="rId8"/>
    <sheet name="prediction_residual" sheetId="7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38" i="7" l="1"/>
  <c r="H235" i="7"/>
  <c r="I235" i="7" s="1"/>
  <c r="H78" i="7"/>
  <c r="I78" i="7" s="1"/>
  <c r="H158" i="7"/>
  <c r="I158" i="7" s="1"/>
  <c r="H100" i="7"/>
  <c r="I100" i="7" s="1"/>
  <c r="H191" i="7"/>
  <c r="I191" i="7" s="1"/>
  <c r="H223" i="7"/>
  <c r="I223" i="7" s="1"/>
  <c r="H172" i="7"/>
  <c r="I172" i="7" s="1"/>
  <c r="H77" i="7"/>
  <c r="I77" i="7" s="1"/>
  <c r="H51" i="7"/>
  <c r="I51" i="7" s="1"/>
  <c r="H210" i="7"/>
  <c r="I210" i="7" s="1"/>
  <c r="H275" i="7"/>
  <c r="I275" i="7" s="1"/>
  <c r="H185" i="7"/>
  <c r="I185" i="7" s="1"/>
  <c r="H64" i="7"/>
  <c r="I64" i="7" s="1"/>
  <c r="H99" i="7"/>
  <c r="I99" i="7" s="1"/>
  <c r="H145" i="7"/>
  <c r="I145" i="7" s="1"/>
  <c r="H320" i="7"/>
  <c r="I320" i="7" s="1"/>
  <c r="H240" i="7"/>
  <c r="I240" i="7" s="1"/>
  <c r="H321" i="7"/>
  <c r="I321" i="7" s="1"/>
  <c r="H260" i="7"/>
  <c r="I260" i="7" s="1"/>
  <c r="H90" i="7"/>
  <c r="I90" i="7" s="1"/>
  <c r="H12" i="7"/>
  <c r="I12" i="7" s="1"/>
  <c r="H211" i="7"/>
  <c r="I211" i="7" s="1"/>
  <c r="H190" i="7"/>
  <c r="I190" i="7" s="1"/>
  <c r="H73" i="7"/>
  <c r="I73" i="7" s="1"/>
  <c r="H91" i="7"/>
  <c r="I91" i="7" s="1"/>
  <c r="H302" i="7"/>
  <c r="I302" i="7" s="1"/>
  <c r="H176" i="7"/>
  <c r="I176" i="7" s="1"/>
  <c r="H238" i="7"/>
  <c r="H246" i="7"/>
  <c r="I246" i="7" s="1"/>
  <c r="H141" i="7"/>
  <c r="I141" i="7" s="1"/>
  <c r="H189" i="7"/>
  <c r="I189" i="7" s="1"/>
  <c r="H196" i="7"/>
  <c r="I196" i="7" s="1"/>
  <c r="H197" i="7"/>
  <c r="I197" i="7" s="1"/>
  <c r="H26" i="7"/>
  <c r="I26" i="7" s="1"/>
  <c r="H177" i="7"/>
  <c r="I177" i="7" s="1"/>
  <c r="H82" i="7"/>
  <c r="I82" i="7" s="1"/>
  <c r="H45" i="7"/>
  <c r="I45" i="7" s="1"/>
  <c r="H159" i="7"/>
  <c r="I159" i="7" s="1"/>
  <c r="H139" i="7"/>
  <c r="I139" i="7" s="1"/>
  <c r="H286" i="7"/>
  <c r="I286" i="7" s="1"/>
  <c r="H237" i="7"/>
  <c r="I237" i="7" s="1"/>
  <c r="H212" i="7"/>
  <c r="I212" i="7" s="1"/>
  <c r="H195" i="7"/>
  <c r="I195" i="7" s="1"/>
  <c r="F19" i="7"/>
  <c r="H19" i="7" s="1"/>
  <c r="I19" i="7" s="1"/>
  <c r="F14" i="7"/>
  <c r="H14" i="7" s="1"/>
  <c r="I14" i="7" s="1"/>
  <c r="F7" i="7"/>
  <c r="H7" i="7" s="1"/>
  <c r="I7" i="7" s="1"/>
  <c r="F46" i="7"/>
  <c r="H46" i="7" s="1"/>
  <c r="I46" i="7" s="1"/>
  <c r="F111" i="7"/>
  <c r="H111" i="7" s="1"/>
  <c r="I111" i="7" s="1"/>
  <c r="F220" i="7"/>
  <c r="H220" i="7" s="1"/>
  <c r="I220" i="7" s="1"/>
  <c r="F308" i="7"/>
  <c r="H308" i="7" s="1"/>
  <c r="I308" i="7" s="1"/>
  <c r="F305" i="7"/>
  <c r="H305" i="7" s="1"/>
  <c r="I305" i="7" s="1"/>
  <c r="F127" i="7"/>
  <c r="H127" i="7" s="1"/>
  <c r="I127" i="7" s="1"/>
  <c r="F80" i="7"/>
  <c r="H80" i="7" s="1"/>
  <c r="I80" i="7" s="1"/>
  <c r="F293" i="7"/>
  <c r="H293" i="7" s="1"/>
  <c r="I293" i="7" s="1"/>
  <c r="F268" i="7"/>
  <c r="H268" i="7" s="1"/>
  <c r="I268" i="7" s="1"/>
  <c r="F42" i="7"/>
  <c r="H42" i="7" s="1"/>
  <c r="I42" i="7" s="1"/>
  <c r="F138" i="7"/>
  <c r="H138" i="7" s="1"/>
  <c r="I138" i="7" s="1"/>
  <c r="F235" i="7"/>
  <c r="F78" i="7"/>
  <c r="F62" i="7"/>
  <c r="H62" i="7" s="1"/>
  <c r="I62" i="7" s="1"/>
  <c r="F75" i="7"/>
  <c r="H75" i="7" s="1"/>
  <c r="I75" i="7" s="1"/>
  <c r="F96" i="7"/>
  <c r="H96" i="7" s="1"/>
  <c r="I96" i="7" s="1"/>
  <c r="F8" i="7"/>
  <c r="H8" i="7" s="1"/>
  <c r="I8" i="7" s="1"/>
  <c r="F106" i="7"/>
  <c r="H106" i="7" s="1"/>
  <c r="I106" i="7" s="1"/>
  <c r="F202" i="7"/>
  <c r="H202" i="7" s="1"/>
  <c r="I202" i="7" s="1"/>
  <c r="F158" i="7"/>
  <c r="F100" i="7"/>
  <c r="F9" i="7"/>
  <c r="H9" i="7" s="1"/>
  <c r="I9" i="7" s="1"/>
  <c r="F151" i="7"/>
  <c r="H151" i="7" s="1"/>
  <c r="I151" i="7" s="1"/>
  <c r="F191" i="7"/>
  <c r="F17" i="7"/>
  <c r="H17" i="7" s="1"/>
  <c r="I17" i="7" s="1"/>
  <c r="F178" i="7"/>
  <c r="H178" i="7" s="1"/>
  <c r="I178" i="7" s="1"/>
  <c r="F113" i="7"/>
  <c r="H113" i="7" s="1"/>
  <c r="I113" i="7" s="1"/>
  <c r="F20" i="7"/>
  <c r="H20" i="7" s="1"/>
  <c r="I20" i="7" s="1"/>
  <c r="F4" i="7"/>
  <c r="H4" i="7" s="1"/>
  <c r="I4" i="7" s="1"/>
  <c r="F21" i="7"/>
  <c r="H21" i="7" s="1"/>
  <c r="I21" i="7" s="1"/>
  <c r="F105" i="7"/>
  <c r="H105" i="7" s="1"/>
  <c r="I105" i="7" s="1"/>
  <c r="F49" i="7"/>
  <c r="H49" i="7" s="1"/>
  <c r="I49" i="7" s="1"/>
  <c r="F281" i="7"/>
  <c r="H281" i="7" s="1"/>
  <c r="I281" i="7" s="1"/>
  <c r="F54" i="7"/>
  <c r="H54" i="7" s="1"/>
  <c r="I54" i="7" s="1"/>
  <c r="F121" i="7"/>
  <c r="H121" i="7" s="1"/>
  <c r="I121" i="7" s="1"/>
  <c r="F171" i="7"/>
  <c r="H171" i="7" s="1"/>
  <c r="I171" i="7" s="1"/>
  <c r="F223" i="7"/>
  <c r="F230" i="7"/>
  <c r="H230" i="7" s="1"/>
  <c r="I230" i="7" s="1"/>
  <c r="F313" i="7"/>
  <c r="H313" i="7" s="1"/>
  <c r="I313" i="7" s="1"/>
  <c r="F233" i="7"/>
  <c r="H233" i="7" s="1"/>
  <c r="I233" i="7" s="1"/>
  <c r="F3" i="7"/>
  <c r="H3" i="7" s="1"/>
  <c r="I3" i="7" s="1"/>
  <c r="F39" i="7"/>
  <c r="H39" i="7" s="1"/>
  <c r="I39" i="7" s="1"/>
  <c r="F226" i="7"/>
  <c r="H226" i="7" s="1"/>
  <c r="I226" i="7" s="1"/>
  <c r="F172" i="7"/>
  <c r="F77" i="7"/>
  <c r="F187" i="7"/>
  <c r="H187" i="7" s="1"/>
  <c r="I187" i="7" s="1"/>
  <c r="F217" i="7"/>
  <c r="H217" i="7" s="1"/>
  <c r="I217" i="7" s="1"/>
  <c r="F262" i="7"/>
  <c r="H262" i="7" s="1"/>
  <c r="I262" i="7" s="1"/>
  <c r="F10" i="7"/>
  <c r="H10" i="7" s="1"/>
  <c r="I10" i="7" s="1"/>
  <c r="F243" i="7"/>
  <c r="H243" i="7" s="1"/>
  <c r="I243" i="7" s="1"/>
  <c r="F266" i="7"/>
  <c r="H266" i="7" s="1"/>
  <c r="I266" i="7" s="1"/>
  <c r="F51" i="7"/>
  <c r="F210" i="7"/>
  <c r="F166" i="7"/>
  <c r="H166" i="7" s="1"/>
  <c r="I166" i="7" s="1"/>
  <c r="F61" i="7"/>
  <c r="H61" i="7" s="1"/>
  <c r="I61" i="7" s="1"/>
  <c r="F57" i="7"/>
  <c r="H57" i="7" s="1"/>
  <c r="I57" i="7" s="1"/>
  <c r="F296" i="7"/>
  <c r="H296" i="7" s="1"/>
  <c r="I296" i="7" s="1"/>
  <c r="F278" i="7"/>
  <c r="H278" i="7" s="1"/>
  <c r="I278" i="7" s="1"/>
  <c r="F110" i="7"/>
  <c r="H110" i="7" s="1"/>
  <c r="I110" i="7" s="1"/>
  <c r="F274" i="7"/>
  <c r="H274" i="7" s="1"/>
  <c r="I274" i="7" s="1"/>
  <c r="F79" i="7"/>
  <c r="H79" i="7" s="1"/>
  <c r="I79" i="7" s="1"/>
  <c r="F85" i="7"/>
  <c r="H85" i="7" s="1"/>
  <c r="I85" i="7" s="1"/>
  <c r="F2" i="7"/>
  <c r="H2" i="7" s="1"/>
  <c r="I2" i="7" s="1"/>
  <c r="F175" i="7"/>
  <c r="H175" i="7" s="1"/>
  <c r="I175" i="7" s="1"/>
  <c r="F303" i="7"/>
  <c r="H303" i="7" s="1"/>
  <c r="I303" i="7" s="1"/>
  <c r="F87" i="7"/>
  <c r="H87" i="7" s="1"/>
  <c r="I87" i="7" s="1"/>
  <c r="F204" i="7"/>
  <c r="H204" i="7" s="1"/>
  <c r="I204" i="7" s="1"/>
  <c r="F275" i="7"/>
  <c r="F185" i="7"/>
  <c r="F30" i="7"/>
  <c r="H30" i="7" s="1"/>
  <c r="I30" i="7" s="1"/>
  <c r="F311" i="7"/>
  <c r="H311" i="7" s="1"/>
  <c r="I311" i="7" s="1"/>
  <c r="F55" i="7"/>
  <c r="H55" i="7" s="1"/>
  <c r="I55" i="7" s="1"/>
  <c r="F107" i="7"/>
  <c r="H107" i="7" s="1"/>
  <c r="I107" i="7" s="1"/>
  <c r="F253" i="7"/>
  <c r="H253" i="7" s="1"/>
  <c r="I253" i="7" s="1"/>
  <c r="F277" i="7"/>
  <c r="H277" i="7" s="1"/>
  <c r="I277" i="7" s="1"/>
  <c r="F64" i="7"/>
  <c r="F99" i="7"/>
  <c r="F290" i="7"/>
  <c r="H290" i="7" s="1"/>
  <c r="I290" i="7" s="1"/>
  <c r="F314" i="7"/>
  <c r="H314" i="7" s="1"/>
  <c r="I314" i="7" s="1"/>
  <c r="F224" i="7"/>
  <c r="H224" i="7" s="1"/>
  <c r="I224" i="7" s="1"/>
  <c r="F207" i="7"/>
  <c r="H207" i="7" s="1"/>
  <c r="I207" i="7" s="1"/>
  <c r="F65" i="7"/>
  <c r="H65" i="7" s="1"/>
  <c r="I65" i="7" s="1"/>
  <c r="F157" i="7"/>
  <c r="H157" i="7" s="1"/>
  <c r="I157" i="7" s="1"/>
  <c r="F145" i="7"/>
  <c r="F267" i="7"/>
  <c r="H267" i="7" s="1"/>
  <c r="I267" i="7" s="1"/>
  <c r="F5" i="7"/>
  <c r="H5" i="7" s="1"/>
  <c r="I5" i="7" s="1"/>
  <c r="F249" i="7"/>
  <c r="H249" i="7" s="1"/>
  <c r="I249" i="7" s="1"/>
  <c r="F257" i="7"/>
  <c r="H257" i="7" s="1"/>
  <c r="I257" i="7" s="1"/>
  <c r="F102" i="7"/>
  <c r="H102" i="7" s="1"/>
  <c r="I102" i="7" s="1"/>
  <c r="F282" i="7"/>
  <c r="H282" i="7" s="1"/>
  <c r="I282" i="7" s="1"/>
  <c r="F292" i="7"/>
  <c r="H292" i="7" s="1"/>
  <c r="I292" i="7" s="1"/>
  <c r="F89" i="7"/>
  <c r="H89" i="7" s="1"/>
  <c r="I89" i="7" s="1"/>
  <c r="F161" i="7"/>
  <c r="H161" i="7" s="1"/>
  <c r="I161" i="7" s="1"/>
  <c r="F307" i="7"/>
  <c r="H307" i="7" s="1"/>
  <c r="I307" i="7" s="1"/>
  <c r="F167" i="7"/>
  <c r="H167" i="7" s="1"/>
  <c r="I167" i="7" s="1"/>
  <c r="F234" i="7"/>
  <c r="H234" i="7" s="1"/>
  <c r="I234" i="7" s="1"/>
  <c r="F291" i="7"/>
  <c r="H291" i="7" s="1"/>
  <c r="I291" i="7" s="1"/>
  <c r="F88" i="7"/>
  <c r="H88" i="7" s="1"/>
  <c r="I88" i="7" s="1"/>
  <c r="F271" i="7"/>
  <c r="H271" i="7" s="1"/>
  <c r="I271" i="7" s="1"/>
  <c r="F320" i="7"/>
  <c r="F240" i="7"/>
  <c r="F137" i="7"/>
  <c r="H137" i="7" s="1"/>
  <c r="I137" i="7" s="1"/>
  <c r="F299" i="7"/>
  <c r="H299" i="7" s="1"/>
  <c r="I299" i="7" s="1"/>
  <c r="F147" i="7"/>
  <c r="H147" i="7" s="1"/>
  <c r="I147" i="7" s="1"/>
  <c r="F276" i="7"/>
  <c r="H276" i="7" s="1"/>
  <c r="I276" i="7" s="1"/>
  <c r="F222" i="7"/>
  <c r="H222" i="7" s="1"/>
  <c r="I222" i="7" s="1"/>
  <c r="F152" i="7"/>
  <c r="H152" i="7" s="1"/>
  <c r="I152" i="7" s="1"/>
  <c r="F321" i="7"/>
  <c r="F260" i="7"/>
  <c r="F270" i="7"/>
  <c r="H270" i="7" s="1"/>
  <c r="I270" i="7" s="1"/>
  <c r="F40" i="7"/>
  <c r="H40" i="7" s="1"/>
  <c r="I40" i="7" s="1"/>
  <c r="F66" i="7"/>
  <c r="H66" i="7" s="1"/>
  <c r="I66" i="7" s="1"/>
  <c r="F143" i="7"/>
  <c r="H143" i="7" s="1"/>
  <c r="I143" i="7" s="1"/>
  <c r="F312" i="7"/>
  <c r="H312" i="7" s="1"/>
  <c r="I312" i="7" s="1"/>
  <c r="F16" i="7"/>
  <c r="H16" i="7" s="1"/>
  <c r="I16" i="7" s="1"/>
  <c r="F120" i="7"/>
  <c r="H120" i="7" s="1"/>
  <c r="I120" i="7" s="1"/>
  <c r="F33" i="7"/>
  <c r="H33" i="7" s="1"/>
  <c r="I33" i="7" s="1"/>
  <c r="F244" i="7"/>
  <c r="H244" i="7" s="1"/>
  <c r="I244" i="7" s="1"/>
  <c r="F56" i="7"/>
  <c r="H56" i="7" s="1"/>
  <c r="I56" i="7" s="1"/>
  <c r="F24" i="7"/>
  <c r="H24" i="7" s="1"/>
  <c r="I24" i="7" s="1"/>
  <c r="F317" i="7"/>
  <c r="H317" i="7" s="1"/>
  <c r="I317" i="7" s="1"/>
  <c r="F122" i="7"/>
  <c r="H122" i="7" s="1"/>
  <c r="I122" i="7" s="1"/>
  <c r="F285" i="7"/>
  <c r="H285" i="7" s="1"/>
  <c r="I285" i="7" s="1"/>
  <c r="F153" i="7"/>
  <c r="H153" i="7" s="1"/>
  <c r="I153" i="7" s="1"/>
  <c r="F242" i="7"/>
  <c r="H242" i="7" s="1"/>
  <c r="I242" i="7" s="1"/>
  <c r="F170" i="7"/>
  <c r="H170" i="7" s="1"/>
  <c r="I170" i="7" s="1"/>
  <c r="F32" i="7"/>
  <c r="H32" i="7" s="1"/>
  <c r="I32" i="7" s="1"/>
  <c r="F146" i="7"/>
  <c r="H146" i="7" s="1"/>
  <c r="I146" i="7" s="1"/>
  <c r="F34" i="7"/>
  <c r="H34" i="7" s="1"/>
  <c r="I34" i="7" s="1"/>
  <c r="F29" i="7"/>
  <c r="H29" i="7" s="1"/>
  <c r="I29" i="7" s="1"/>
  <c r="F133" i="7"/>
  <c r="H133" i="7" s="1"/>
  <c r="I133" i="7" s="1"/>
  <c r="F90" i="7"/>
  <c r="F12" i="7"/>
  <c r="F228" i="7"/>
  <c r="H228" i="7" s="1"/>
  <c r="I228" i="7" s="1"/>
  <c r="F283" i="7"/>
  <c r="H283" i="7" s="1"/>
  <c r="I283" i="7" s="1"/>
  <c r="F186" i="7"/>
  <c r="H186" i="7" s="1"/>
  <c r="I186" i="7" s="1"/>
  <c r="F261" i="7"/>
  <c r="H261" i="7" s="1"/>
  <c r="I261" i="7" s="1"/>
  <c r="F219" i="7"/>
  <c r="H219" i="7" s="1"/>
  <c r="I219" i="7" s="1"/>
  <c r="F265" i="7"/>
  <c r="H265" i="7" s="1"/>
  <c r="I265" i="7" s="1"/>
  <c r="F211" i="7"/>
  <c r="F36" i="7"/>
  <c r="H36" i="7" s="1"/>
  <c r="I36" i="7" s="1"/>
  <c r="F52" i="7"/>
  <c r="H52" i="7" s="1"/>
  <c r="I52" i="7" s="1"/>
  <c r="F101" i="7"/>
  <c r="H101" i="7" s="1"/>
  <c r="I101" i="7" s="1"/>
  <c r="F116" i="7"/>
  <c r="H116" i="7" s="1"/>
  <c r="I116" i="7" s="1"/>
  <c r="F83" i="7"/>
  <c r="H83" i="7" s="1"/>
  <c r="I83" i="7" s="1"/>
  <c r="F200" i="7"/>
  <c r="H200" i="7" s="1"/>
  <c r="I200" i="7" s="1"/>
  <c r="F256" i="7"/>
  <c r="H256" i="7" s="1"/>
  <c r="I256" i="7" s="1"/>
  <c r="F236" i="7"/>
  <c r="H236" i="7" s="1"/>
  <c r="I236" i="7" s="1"/>
  <c r="F126" i="7"/>
  <c r="H126" i="7" s="1"/>
  <c r="I126" i="7" s="1"/>
  <c r="F214" i="7"/>
  <c r="H214" i="7" s="1"/>
  <c r="I214" i="7" s="1"/>
  <c r="F63" i="7"/>
  <c r="H63" i="7" s="1"/>
  <c r="I63" i="7" s="1"/>
  <c r="F181" i="7"/>
  <c r="H181" i="7" s="1"/>
  <c r="I181" i="7" s="1"/>
  <c r="F131" i="7"/>
  <c r="H131" i="7" s="1"/>
  <c r="I131" i="7" s="1"/>
  <c r="F60" i="7"/>
  <c r="H60" i="7" s="1"/>
  <c r="I60" i="7" s="1"/>
  <c r="F295" i="7"/>
  <c r="H295" i="7" s="1"/>
  <c r="I295" i="7" s="1"/>
  <c r="F284" i="7"/>
  <c r="H284" i="7" s="1"/>
  <c r="I284" i="7" s="1"/>
  <c r="F38" i="7"/>
  <c r="H38" i="7" s="1"/>
  <c r="I38" i="7" s="1"/>
  <c r="F310" i="7"/>
  <c r="H310" i="7" s="1"/>
  <c r="I310" i="7" s="1"/>
  <c r="F109" i="7"/>
  <c r="H109" i="7" s="1"/>
  <c r="I109" i="7" s="1"/>
  <c r="F150" i="7"/>
  <c r="H150" i="7" s="1"/>
  <c r="I150" i="7" s="1"/>
  <c r="F269" i="7"/>
  <c r="H269" i="7" s="1"/>
  <c r="I269" i="7" s="1"/>
  <c r="F81" i="7"/>
  <c r="H81" i="7" s="1"/>
  <c r="I81" i="7" s="1"/>
  <c r="F135" i="7"/>
  <c r="H135" i="7" s="1"/>
  <c r="I135" i="7" s="1"/>
  <c r="F190" i="7"/>
  <c r="F73" i="7"/>
  <c r="F22" i="7"/>
  <c r="H22" i="7" s="1"/>
  <c r="I22" i="7" s="1"/>
  <c r="F254" i="7"/>
  <c r="H254" i="7" s="1"/>
  <c r="I254" i="7" s="1"/>
  <c r="F136" i="7"/>
  <c r="H136" i="7" s="1"/>
  <c r="I136" i="7" s="1"/>
  <c r="F192" i="7"/>
  <c r="H192" i="7" s="1"/>
  <c r="I192" i="7" s="1"/>
  <c r="F67" i="7"/>
  <c r="H67" i="7" s="1"/>
  <c r="I67" i="7" s="1"/>
  <c r="F86" i="7"/>
  <c r="H86" i="7" s="1"/>
  <c r="I86" i="7" s="1"/>
  <c r="F97" i="7"/>
  <c r="H97" i="7" s="1"/>
  <c r="I97" i="7" s="1"/>
  <c r="F229" i="7"/>
  <c r="H229" i="7" s="1"/>
  <c r="I229" i="7" s="1"/>
  <c r="F306" i="7"/>
  <c r="H306" i="7" s="1"/>
  <c r="I306" i="7" s="1"/>
  <c r="F263" i="7"/>
  <c r="H263" i="7" s="1"/>
  <c r="I263" i="7" s="1"/>
  <c r="F300" i="7"/>
  <c r="H300" i="7" s="1"/>
  <c r="I300" i="7" s="1"/>
  <c r="F154" i="7"/>
  <c r="H154" i="7" s="1"/>
  <c r="I154" i="7" s="1"/>
  <c r="F132" i="7"/>
  <c r="H132" i="7" s="1"/>
  <c r="I132" i="7" s="1"/>
  <c r="F123" i="7"/>
  <c r="H123" i="7" s="1"/>
  <c r="I123" i="7" s="1"/>
  <c r="F112" i="7"/>
  <c r="H112" i="7" s="1"/>
  <c r="I112" i="7" s="1"/>
  <c r="F91" i="7"/>
  <c r="F209" i="7"/>
  <c r="H209" i="7" s="1"/>
  <c r="I209" i="7" s="1"/>
  <c r="F294" i="7"/>
  <c r="H294" i="7" s="1"/>
  <c r="I294" i="7" s="1"/>
  <c r="F163" i="7"/>
  <c r="H163" i="7" s="1"/>
  <c r="I163" i="7" s="1"/>
  <c r="F279" i="7"/>
  <c r="H279" i="7" s="1"/>
  <c r="I279" i="7" s="1"/>
  <c r="F215" i="7"/>
  <c r="H215" i="7" s="1"/>
  <c r="I215" i="7" s="1"/>
  <c r="F119" i="7"/>
  <c r="H119" i="7" s="1"/>
  <c r="I119" i="7" s="1"/>
  <c r="F50" i="7"/>
  <c r="H50" i="7" s="1"/>
  <c r="I50" i="7" s="1"/>
  <c r="F31" i="7"/>
  <c r="H31" i="7" s="1"/>
  <c r="I31" i="7" s="1"/>
  <c r="F93" i="7"/>
  <c r="H93" i="7" s="1"/>
  <c r="I93" i="7" s="1"/>
  <c r="F134" i="7"/>
  <c r="H134" i="7" s="1"/>
  <c r="I134" i="7" s="1"/>
  <c r="F11" i="7"/>
  <c r="H11" i="7" s="1"/>
  <c r="I11" i="7" s="1"/>
  <c r="F258" i="7"/>
  <c r="H258" i="7" s="1"/>
  <c r="I258" i="7" s="1"/>
  <c r="F53" i="7"/>
  <c r="H53" i="7" s="1"/>
  <c r="I53" i="7" s="1"/>
  <c r="F47" i="7"/>
  <c r="H47" i="7" s="1"/>
  <c r="I47" i="7" s="1"/>
  <c r="F302" i="7"/>
  <c r="F173" i="7"/>
  <c r="H173" i="7" s="1"/>
  <c r="I173" i="7" s="1"/>
  <c r="F319" i="7"/>
  <c r="H319" i="7" s="1"/>
  <c r="I319" i="7" s="1"/>
  <c r="F76" i="7"/>
  <c r="H76" i="7" s="1"/>
  <c r="I76" i="7" s="1"/>
  <c r="F125" i="7"/>
  <c r="H125" i="7" s="1"/>
  <c r="I125" i="7" s="1"/>
  <c r="F162" i="7"/>
  <c r="H162" i="7" s="1"/>
  <c r="I162" i="7" s="1"/>
  <c r="F298" i="7"/>
  <c r="H298" i="7" s="1"/>
  <c r="I298" i="7" s="1"/>
  <c r="F37" i="7"/>
  <c r="H37" i="7" s="1"/>
  <c r="I37" i="7" s="1"/>
  <c r="F27" i="7"/>
  <c r="H27" i="7" s="1"/>
  <c r="I27" i="7" s="1"/>
  <c r="F206" i="7"/>
  <c r="H206" i="7" s="1"/>
  <c r="I206" i="7" s="1"/>
  <c r="F18" i="7"/>
  <c r="H18" i="7" s="1"/>
  <c r="I18" i="7" s="1"/>
  <c r="F140" i="7"/>
  <c r="H140" i="7" s="1"/>
  <c r="I140" i="7" s="1"/>
  <c r="F156" i="7"/>
  <c r="H156" i="7" s="1"/>
  <c r="I156" i="7" s="1"/>
  <c r="F241" i="7"/>
  <c r="H241" i="7" s="1"/>
  <c r="I241" i="7" s="1"/>
  <c r="F245" i="7"/>
  <c r="H245" i="7" s="1"/>
  <c r="I245" i="7" s="1"/>
  <c r="F118" i="7"/>
  <c r="H118" i="7" s="1"/>
  <c r="I118" i="7" s="1"/>
  <c r="F176" i="7"/>
  <c r="F238" i="7"/>
  <c r="F165" i="7"/>
  <c r="H165" i="7" s="1"/>
  <c r="I165" i="7" s="1"/>
  <c r="F280" i="7"/>
  <c r="H280" i="7" s="1"/>
  <c r="I280" i="7" s="1"/>
  <c r="F193" i="7"/>
  <c r="H193" i="7" s="1"/>
  <c r="I193" i="7" s="1"/>
  <c r="F205" i="7"/>
  <c r="H205" i="7" s="1"/>
  <c r="I205" i="7" s="1"/>
  <c r="F179" i="7"/>
  <c r="H179" i="7" s="1"/>
  <c r="I179" i="7" s="1"/>
  <c r="F169" i="7"/>
  <c r="H169" i="7" s="1"/>
  <c r="I169" i="7" s="1"/>
  <c r="F70" i="7"/>
  <c r="H70" i="7" s="1"/>
  <c r="I70" i="7" s="1"/>
  <c r="F255" i="7"/>
  <c r="H255" i="7" s="1"/>
  <c r="I255" i="7" s="1"/>
  <c r="F213" i="7"/>
  <c r="H213" i="7" s="1"/>
  <c r="I213" i="7" s="1"/>
  <c r="F94" i="7"/>
  <c r="H94" i="7" s="1"/>
  <c r="I94" i="7" s="1"/>
  <c r="F259" i="7"/>
  <c r="H259" i="7" s="1"/>
  <c r="I259" i="7" s="1"/>
  <c r="F44" i="7"/>
  <c r="H44" i="7" s="1"/>
  <c r="I44" i="7" s="1"/>
  <c r="F289" i="7"/>
  <c r="H289" i="7" s="1"/>
  <c r="I289" i="7" s="1"/>
  <c r="F68" i="7"/>
  <c r="H68" i="7" s="1"/>
  <c r="I68" i="7" s="1"/>
  <c r="F248" i="7"/>
  <c r="H248" i="7" s="1"/>
  <c r="I248" i="7" s="1"/>
  <c r="F264" i="7"/>
  <c r="H264" i="7" s="1"/>
  <c r="I264" i="7" s="1"/>
  <c r="F301" i="7"/>
  <c r="H301" i="7" s="1"/>
  <c r="I301" i="7" s="1"/>
  <c r="F180" i="7"/>
  <c r="H180" i="7" s="1"/>
  <c r="I180" i="7" s="1"/>
  <c r="F160" i="7"/>
  <c r="H160" i="7" s="1"/>
  <c r="I160" i="7" s="1"/>
  <c r="F23" i="7"/>
  <c r="H23" i="7" s="1"/>
  <c r="I23" i="7" s="1"/>
  <c r="F115" i="7"/>
  <c r="H115" i="7" s="1"/>
  <c r="I115" i="7" s="1"/>
  <c r="F117" i="7"/>
  <c r="H117" i="7" s="1"/>
  <c r="I117" i="7" s="1"/>
  <c r="F183" i="7"/>
  <c r="H183" i="7" s="1"/>
  <c r="I183" i="7" s="1"/>
  <c r="F246" i="7"/>
  <c r="F251" i="7"/>
  <c r="H251" i="7" s="1"/>
  <c r="I251" i="7" s="1"/>
  <c r="F208" i="7"/>
  <c r="H208" i="7" s="1"/>
  <c r="I208" i="7" s="1"/>
  <c r="F199" i="7"/>
  <c r="H199" i="7" s="1"/>
  <c r="I199" i="7" s="1"/>
  <c r="F218" i="7"/>
  <c r="H218" i="7" s="1"/>
  <c r="I218" i="7" s="1"/>
  <c r="F201" i="7"/>
  <c r="H201" i="7" s="1"/>
  <c r="I201" i="7" s="1"/>
  <c r="F72" i="7"/>
  <c r="H72" i="7" s="1"/>
  <c r="I72" i="7" s="1"/>
  <c r="F141" i="7"/>
  <c r="F189" i="7"/>
  <c r="F103" i="7"/>
  <c r="H103" i="7" s="1"/>
  <c r="I103" i="7" s="1"/>
  <c r="F130" i="7"/>
  <c r="H130" i="7" s="1"/>
  <c r="I130" i="7" s="1"/>
  <c r="F196" i="7"/>
  <c r="F197" i="7"/>
  <c r="F316" i="7"/>
  <c r="H316" i="7" s="1"/>
  <c r="I316" i="7" s="1"/>
  <c r="F273" i="7"/>
  <c r="H273" i="7" s="1"/>
  <c r="I273" i="7" s="1"/>
  <c r="F84" i="7"/>
  <c r="H84" i="7" s="1"/>
  <c r="I84" i="7" s="1"/>
  <c r="F315" i="7"/>
  <c r="H315" i="7" s="1"/>
  <c r="I315" i="7" s="1"/>
  <c r="F232" i="7"/>
  <c r="H232" i="7" s="1"/>
  <c r="I232" i="7" s="1"/>
  <c r="F184" i="7"/>
  <c r="H184" i="7" s="1"/>
  <c r="I184" i="7" s="1"/>
  <c r="F288" i="7"/>
  <c r="H288" i="7" s="1"/>
  <c r="I288" i="7" s="1"/>
  <c r="F182" i="7"/>
  <c r="H182" i="7" s="1"/>
  <c r="I182" i="7" s="1"/>
  <c r="F164" i="7"/>
  <c r="H164" i="7" s="1"/>
  <c r="I164" i="7" s="1"/>
  <c r="F297" i="7"/>
  <c r="H297" i="7" s="1"/>
  <c r="I297" i="7" s="1"/>
  <c r="F216" i="7"/>
  <c r="H216" i="7" s="1"/>
  <c r="I216" i="7" s="1"/>
  <c r="F124" i="7"/>
  <c r="H124" i="7" s="1"/>
  <c r="I124" i="7" s="1"/>
  <c r="F250" i="7"/>
  <c r="H250" i="7" s="1"/>
  <c r="I250" i="7" s="1"/>
  <c r="F239" i="7"/>
  <c r="H239" i="7" s="1"/>
  <c r="I239" i="7" s="1"/>
  <c r="F272" i="7"/>
  <c r="H272" i="7" s="1"/>
  <c r="I272" i="7" s="1"/>
  <c r="F25" i="7"/>
  <c r="H25" i="7" s="1"/>
  <c r="I25" i="7" s="1"/>
  <c r="F287" i="7"/>
  <c r="H287" i="7" s="1"/>
  <c r="I287" i="7" s="1"/>
  <c r="F174" i="7"/>
  <c r="H174" i="7" s="1"/>
  <c r="I174" i="7" s="1"/>
  <c r="F26" i="7"/>
  <c r="F177" i="7"/>
  <c r="F247" i="7"/>
  <c r="H247" i="7" s="1"/>
  <c r="I247" i="7" s="1"/>
  <c r="F104" i="7"/>
  <c r="H104" i="7" s="1"/>
  <c r="I104" i="7" s="1"/>
  <c r="F304" i="7"/>
  <c r="H304" i="7" s="1"/>
  <c r="I304" i="7" s="1"/>
  <c r="F13" i="7"/>
  <c r="H13" i="7" s="1"/>
  <c r="I13" i="7" s="1"/>
  <c r="F231" i="7"/>
  <c r="H231" i="7" s="1"/>
  <c r="I231" i="7" s="1"/>
  <c r="F129" i="7"/>
  <c r="H129" i="7" s="1"/>
  <c r="I129" i="7" s="1"/>
  <c r="F82" i="7"/>
  <c r="F45" i="7"/>
  <c r="F71" i="7"/>
  <c r="H71" i="7" s="1"/>
  <c r="I71" i="7" s="1"/>
  <c r="F227" i="7"/>
  <c r="H227" i="7" s="1"/>
  <c r="I227" i="7" s="1"/>
  <c r="F159" i="7"/>
  <c r="F114" i="7"/>
  <c r="H114" i="7" s="1"/>
  <c r="I114" i="7" s="1"/>
  <c r="F128" i="7"/>
  <c r="H128" i="7" s="1"/>
  <c r="I128" i="7" s="1"/>
  <c r="F155" i="7"/>
  <c r="H155" i="7" s="1"/>
  <c r="I155" i="7" s="1"/>
  <c r="F95" i="7"/>
  <c r="H95" i="7" s="1"/>
  <c r="I95" i="7" s="1"/>
  <c r="F225" i="7"/>
  <c r="H225" i="7" s="1"/>
  <c r="I225" i="7" s="1"/>
  <c r="F69" i="7"/>
  <c r="H69" i="7" s="1"/>
  <c r="I69" i="7" s="1"/>
  <c r="F318" i="7"/>
  <c r="H318" i="7" s="1"/>
  <c r="I318" i="7" s="1"/>
  <c r="F142" i="7"/>
  <c r="H142" i="7" s="1"/>
  <c r="I142" i="7" s="1"/>
  <c r="F58" i="7"/>
  <c r="H58" i="7" s="1"/>
  <c r="I58" i="7" s="1"/>
  <c r="F188" i="7"/>
  <c r="H188" i="7" s="1"/>
  <c r="I188" i="7" s="1"/>
  <c r="F168" i="7"/>
  <c r="H168" i="7" s="1"/>
  <c r="I168" i="7" s="1"/>
  <c r="F221" i="7"/>
  <c r="H221" i="7" s="1"/>
  <c r="I221" i="7" s="1"/>
  <c r="F139" i="7"/>
  <c r="F309" i="7"/>
  <c r="H309" i="7" s="1"/>
  <c r="I309" i="7" s="1"/>
  <c r="F74" i="7"/>
  <c r="H74" i="7" s="1"/>
  <c r="I74" i="7" s="1"/>
  <c r="F15" i="7"/>
  <c r="H15" i="7" s="1"/>
  <c r="I15" i="7" s="1"/>
  <c r="F92" i="7"/>
  <c r="H92" i="7" s="1"/>
  <c r="I92" i="7" s="1"/>
  <c r="F149" i="7"/>
  <c r="H149" i="7" s="1"/>
  <c r="I149" i="7" s="1"/>
  <c r="F144" i="7"/>
  <c r="H144" i="7" s="1"/>
  <c r="I144" i="7" s="1"/>
  <c r="F286" i="7"/>
  <c r="F237" i="7"/>
  <c r="F6" i="7"/>
  <c r="H6" i="7" s="1"/>
  <c r="I6" i="7" s="1"/>
  <c r="F252" i="7"/>
  <c r="H252" i="7" s="1"/>
  <c r="I252" i="7" s="1"/>
  <c r="F28" i="7"/>
  <c r="H28" i="7" s="1"/>
  <c r="I28" i="7" s="1"/>
  <c r="F98" i="7"/>
  <c r="H98" i="7" s="1"/>
  <c r="I98" i="7" s="1"/>
  <c r="F48" i="7"/>
  <c r="H48" i="7" s="1"/>
  <c r="I48" i="7" s="1"/>
  <c r="F108" i="7"/>
  <c r="H108" i="7" s="1"/>
  <c r="I108" i="7" s="1"/>
  <c r="F212" i="7"/>
  <c r="F195" i="7"/>
  <c r="F41" i="7"/>
  <c r="H41" i="7" s="1"/>
  <c r="I41" i="7" s="1"/>
  <c r="F194" i="7"/>
  <c r="H194" i="7" s="1"/>
  <c r="I194" i="7" s="1"/>
  <c r="F203" i="7"/>
  <c r="H203" i="7" s="1"/>
  <c r="I203" i="7" s="1"/>
  <c r="F35" i="7"/>
  <c r="H35" i="7" s="1"/>
  <c r="I35" i="7" s="1"/>
  <c r="F198" i="7"/>
  <c r="H198" i="7" s="1"/>
  <c r="I198" i="7" s="1"/>
  <c r="F148" i="7"/>
  <c r="H148" i="7" s="1"/>
  <c r="I148" i="7" s="1"/>
  <c r="F59" i="7"/>
  <c r="H59" i="7" s="1"/>
  <c r="I59" i="7" s="1"/>
  <c r="F43" i="7"/>
  <c r="H43" i="7" s="1"/>
  <c r="I43" i="7" s="1"/>
  <c r="O3" i="3"/>
  <c r="O2" i="3"/>
  <c r="T3" i="3" l="1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2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L35" i="3"/>
  <c r="L35" i="2"/>
</calcChain>
</file>

<file path=xl/sharedStrings.xml><?xml version="1.0" encoding="utf-8"?>
<sst xmlns="http://schemas.openxmlformats.org/spreadsheetml/2006/main" count="3688" uniqueCount="146">
  <si>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</si>
  <si>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</si>
  <si>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</si>
  <si>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</si>
  <si>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</si>
  <si>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</si>
  <si>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</si>
  <si>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</si>
  <si>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</si>
  <si>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</si>
  <si>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</si>
  <si>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</si>
  <si>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</si>
  <si>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</si>
  <si>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</si>
  <si>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</si>
  <si>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</si>
  <si>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</si>
  <si>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</si>
  <si>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</si>
  <si>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</si>
  <si>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</si>
  <si>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</si>
  <si>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</si>
  <si>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</si>
  <si>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</si>
  <si>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</si>
  <si>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</si>
  <si>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</si>
  <si>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</si>
  <si>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</si>
  <si>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</si>
  <si>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</si>
  <si>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</si>
  <si>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</si>
  <si>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</si>
  <si>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</si>
  <si>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</si>
  <si>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</si>
  <si>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</si>
  <si>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</si>
  <si>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</si>
  <si>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</si>
  <si>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</si>
  <si>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</si>
  <si>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</si>
  <si>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</si>
  <si>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</si>
  <si>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</si>
  <si>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</si>
  <si>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</si>
  <si>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</si>
  <si>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</si>
  <si>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</si>
  <si>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</si>
  <si>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</si>
  <si>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</si>
  <si>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</si>
  <si>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</si>
  <si>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</si>
  <si>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</si>
  <si>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</si>
  <si>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</si>
  <si>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</si>
  <si>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</si>
  <si>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</si>
  <si>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</si>
  <si>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</si>
  <si>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</si>
  <si>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</si>
  <si>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</si>
  <si>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</si>
  <si>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</si>
  <si>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</si>
  <si>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</si>
  <si>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</si>
  <si>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</si>
  <si>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</si>
  <si>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</si>
  <si>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</si>
  <si>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</si>
  <si>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</si>
  <si>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</si>
  <si>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</si>
  <si>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</si>
  <si>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</si>
  <si>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</si>
  <si>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</si>
  <si>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</si>
  <si>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</si>
  <si>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</si>
  <si>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</si>
  <si>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</si>
  <si>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</si>
  <si>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</si>
  <si>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</si>
  <si>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</si>
  <si>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</si>
  <si>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</si>
  <si>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</si>
  <si>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</si>
  <si>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</si>
  <si>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East_dummy</t>
  </si>
  <si>
    <t>North_dummy</t>
  </si>
  <si>
    <t>South_dummy</t>
  </si>
  <si>
    <t>Residential_dummy</t>
  </si>
  <si>
    <t>Highstreet_dummy</t>
  </si>
  <si>
    <t>Airport_dummy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</si>
  <si>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</si>
  <si>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</si>
  <si>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</si>
  <si>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</si>
  <si>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</si>
  <si>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</si>
  <si>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</si>
  <si>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</si>
  <si>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</si>
  <si>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</si>
  <si>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</si>
  <si>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</si>
  <si>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</si>
  <si>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</si>
  <si>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</si>
  <si>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</si>
  <si>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</si>
  <si>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</si>
  <si>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</si>
  <si>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</si>
  <si>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</si>
  <si>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</si>
  <si>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</si>
  <si>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</si>
  <si>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Variable</t>
  </si>
  <si>
    <t>Coefficient</t>
  </si>
  <si>
    <t>R²</t>
  </si>
  <si>
    <t>Useful?</t>
  </si>
  <si>
    <t>Marketing Spend</t>
  </si>
  <si>
    <t>Yes</t>
  </si>
  <si>
    <t>Footfall</t>
  </si>
  <si>
    <t>Relationship</t>
  </si>
  <si>
    <t>Important?</t>
  </si>
  <si>
    <t>Base Sales Level</t>
  </si>
  <si>
    <t>Positive</t>
  </si>
  <si>
    <t>Negative</t>
  </si>
  <si>
    <t>R² = 0.8102
Adjusted R² = 0.8078</t>
  </si>
  <si>
    <t xml:space="preserve">Predicted_sales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</si>
</sst>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rlito"/>
    </font>
    <font>
      <b/>
      <sz val="11"/>
      <color rgb="FFFFFFFF"/>
      <name val="Carlito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2" fillId="0" borderId="0" xfId="1"/>
    <xf numFmtId="0" fontId="3" fillId="2" borderId="0" xfId="1" applyFont="1" applyFill="1" applyAlignment="1">
      <alignment horizontal="center" vertical="center" wrapText="1"/>
    </xf>
    <xf numFmtId="164" fontId="2" fillId="0" borderId="0" xfId="1" applyNumberFormat="1"/>
    <xf numFmtId="0" fontId="2" fillId="0" borderId="0" xfId="1" applyAlignment="1">
      <alignment wrapText="1"/>
    </xf>
    <xf numFmtId="0" fontId="0" fillId="0" borderId="1" xfId="0" applyBorder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Continuous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/>
    <xf numFmtId="11" fontId="0" fillId="0" borderId="1" xfId="0" applyNumberFormat="1" applyBorder="1"/>
    <xf numFmtId="11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1" fontId="0" fillId="0" borderId="0" xfId="0" applyNumberFormat="1" applyAlignment="1">
      <alignment horizontal="right" vertical="center" wrapText="1"/>
    </xf>
  </cellXfs>
  <cellStyles count="2">
    <cellStyle name="Normal" xfId="0" builtinId="0"/>
    <cellStyle name="Normal 2" xfId="1" xr:uid="{BF106B58-D389-49F4-BB5B-2A8E1735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3D987-D607-4A58-97A4-6178D74DC24F}">
  <dimension ref="A1:N321"/>
  <sheetViews>
    <sheetView topLeftCell="E1" workbookViewId="0">
      <selection activeCell="P1" sqref="P1"/>
    </sheetView>
  </sheetViews>
  <sheetFormatPr defaultRowHeight="14.5"/>
  <sheetData>
    <row r="1" spans="1:14" ht="5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" t="s">
        <v>14</v>
      </c>
      <c r="B2" s="3">
        <v>45658</v>
      </c>
      <c r="C2" s="1" t="s">
        <v>15</v>
      </c>
      <c r="D2" s="1" t="s">
        <v>16</v>
      </c>
      <c r="E2" s="1">
        <v>70389.11</v>
      </c>
      <c r="F2" s="1">
        <v>8302</v>
      </c>
      <c r="G2" s="1">
        <v>4.2000000000000003E-2</v>
      </c>
      <c r="H2" s="1">
        <v>17</v>
      </c>
      <c r="I2" s="1">
        <v>75</v>
      </c>
      <c r="J2" s="1">
        <v>5.28</v>
      </c>
      <c r="K2" s="1">
        <v>1</v>
      </c>
      <c r="L2" s="1">
        <v>3.1</v>
      </c>
      <c r="M2" s="1">
        <v>658832.62</v>
      </c>
      <c r="N2" s="1">
        <v>84349.93</v>
      </c>
    </row>
    <row r="3" spans="1:14">
      <c r="A3" s="1" t="s">
        <v>14</v>
      </c>
      <c r="B3" s="3">
        <v>45689</v>
      </c>
      <c r="C3" s="1" t="s">
        <v>15</v>
      </c>
      <c r="D3" s="1" t="s">
        <v>16</v>
      </c>
      <c r="E3" s="1">
        <v>43827.89</v>
      </c>
      <c r="F3" s="1">
        <v>8487</v>
      </c>
      <c r="G3" s="1">
        <v>0.16800000000000001</v>
      </c>
      <c r="H3" s="1">
        <v>23</v>
      </c>
      <c r="I3" s="1">
        <v>84.4</v>
      </c>
      <c r="J3" s="1">
        <v>4.3099999999999996</v>
      </c>
      <c r="K3" s="1">
        <v>0</v>
      </c>
      <c r="L3" s="1">
        <v>2.8</v>
      </c>
      <c r="M3" s="1">
        <v>634436</v>
      </c>
      <c r="N3" s="1">
        <v>106130.54</v>
      </c>
    </row>
    <row r="4" spans="1:14">
      <c r="A4" s="1" t="s">
        <v>14</v>
      </c>
      <c r="B4" s="3">
        <v>45717</v>
      </c>
      <c r="C4" s="1" t="s">
        <v>15</v>
      </c>
      <c r="D4" s="1" t="s">
        <v>16</v>
      </c>
      <c r="E4" s="1">
        <v>59921.75</v>
      </c>
      <c r="F4" s="1">
        <v>9113</v>
      </c>
      <c r="G4" s="1">
        <v>0.13300000000000001</v>
      </c>
      <c r="H4" s="1">
        <v>20</v>
      </c>
      <c r="I4" s="1">
        <v>88</v>
      </c>
      <c r="J4" s="1">
        <v>12</v>
      </c>
      <c r="K4" s="1">
        <v>0</v>
      </c>
      <c r="L4" s="1">
        <v>3.2</v>
      </c>
      <c r="M4" s="1">
        <v>678722.06</v>
      </c>
      <c r="N4" s="1">
        <v>101883.86</v>
      </c>
    </row>
    <row r="5" spans="1:14">
      <c r="A5" s="1" t="s">
        <v>14</v>
      </c>
      <c r="B5" s="3">
        <v>45748</v>
      </c>
      <c r="C5" s="1" t="s">
        <v>15</v>
      </c>
      <c r="D5" s="1" t="s">
        <v>16</v>
      </c>
      <c r="E5" s="1">
        <v>56856.63</v>
      </c>
      <c r="F5" s="1">
        <v>9431</v>
      </c>
      <c r="G5" s="1">
        <v>0.14199999999999999</v>
      </c>
      <c r="H5" s="1">
        <v>23</v>
      </c>
      <c r="I5" s="1">
        <v>86.9</v>
      </c>
      <c r="J5" s="1">
        <v>4.97</v>
      </c>
      <c r="K5" s="1">
        <v>0</v>
      </c>
      <c r="L5" s="1">
        <v>3.4</v>
      </c>
      <c r="M5" s="1">
        <v>658920.30000000005</v>
      </c>
      <c r="N5" s="1">
        <v>97910.37</v>
      </c>
    </row>
    <row r="6" spans="1:14">
      <c r="A6" s="1" t="s">
        <v>17</v>
      </c>
      <c r="B6" s="3">
        <v>45658</v>
      </c>
      <c r="C6" s="1" t="s">
        <v>15</v>
      </c>
      <c r="D6" s="1" t="s">
        <v>18</v>
      </c>
      <c r="E6" s="1">
        <v>48412.639999999999</v>
      </c>
      <c r="F6" s="1">
        <v>9545</v>
      </c>
      <c r="G6" s="1">
        <v>0.23100000000000001</v>
      </c>
      <c r="H6" s="1">
        <v>21</v>
      </c>
      <c r="I6" s="1">
        <v>97.6</v>
      </c>
      <c r="J6" s="1">
        <v>6.94</v>
      </c>
      <c r="K6" s="1">
        <v>1</v>
      </c>
      <c r="L6" s="1">
        <v>4.2</v>
      </c>
      <c r="M6" s="1">
        <v>741341.44</v>
      </c>
      <c r="N6" s="1">
        <v>119208.17</v>
      </c>
    </row>
    <row r="7" spans="1:14">
      <c r="A7" s="1" t="s">
        <v>17</v>
      </c>
      <c r="B7" s="3">
        <v>45689</v>
      </c>
      <c r="C7" s="1" t="s">
        <v>15</v>
      </c>
      <c r="D7" s="1" t="s">
        <v>18</v>
      </c>
      <c r="E7" s="1">
        <v>64811.21</v>
      </c>
      <c r="F7" s="1">
        <v>9792</v>
      </c>
      <c r="G7" s="1">
        <v>0.112</v>
      </c>
      <c r="H7" s="1">
        <v>20</v>
      </c>
      <c r="I7" s="1">
        <v>84.2</v>
      </c>
      <c r="J7" s="1">
        <v>2.88</v>
      </c>
      <c r="K7" s="1">
        <v>0</v>
      </c>
      <c r="L7" s="1">
        <v>4.2</v>
      </c>
      <c r="M7" s="1">
        <v>761835.34</v>
      </c>
      <c r="N7" s="1">
        <v>149602.23000000001</v>
      </c>
    </row>
    <row r="8" spans="1:14">
      <c r="A8" s="1" t="s">
        <v>17</v>
      </c>
      <c r="B8" s="3">
        <v>45717</v>
      </c>
      <c r="C8" s="1" t="s">
        <v>15</v>
      </c>
      <c r="D8" s="1" t="s">
        <v>18</v>
      </c>
      <c r="E8" s="1">
        <v>46213.45</v>
      </c>
      <c r="F8" s="1">
        <v>10616</v>
      </c>
      <c r="G8" s="1">
        <v>0.122</v>
      </c>
      <c r="H8" s="1">
        <v>22</v>
      </c>
      <c r="I8" s="1">
        <v>85.2</v>
      </c>
      <c r="J8" s="1">
        <v>0.2</v>
      </c>
      <c r="K8" s="1">
        <v>1</v>
      </c>
      <c r="L8" s="1">
        <v>4.0999999999999996</v>
      </c>
      <c r="M8" s="1">
        <v>806615.54</v>
      </c>
      <c r="N8" s="1">
        <v>131364.62</v>
      </c>
    </row>
    <row r="9" spans="1:14">
      <c r="A9" s="1" t="s">
        <v>17</v>
      </c>
      <c r="B9" s="3">
        <v>45748</v>
      </c>
      <c r="C9" s="1" t="s">
        <v>15</v>
      </c>
      <c r="D9" s="1" t="s">
        <v>18</v>
      </c>
      <c r="E9" s="1">
        <v>68148.52</v>
      </c>
      <c r="F9" s="1">
        <v>8567</v>
      </c>
      <c r="G9" s="1">
        <v>0.127</v>
      </c>
      <c r="H9" s="1">
        <v>23</v>
      </c>
      <c r="I9" s="1">
        <v>95.6</v>
      </c>
      <c r="J9" s="1">
        <v>0.8</v>
      </c>
      <c r="K9" s="1">
        <v>0</v>
      </c>
      <c r="L9" s="1">
        <v>3.9</v>
      </c>
      <c r="M9" s="1">
        <v>850164.26</v>
      </c>
      <c r="N9" s="1">
        <v>149262.75</v>
      </c>
    </row>
    <row r="10" spans="1:14">
      <c r="A10" s="1" t="s">
        <v>19</v>
      </c>
      <c r="B10" s="3">
        <v>45658</v>
      </c>
      <c r="C10" s="1" t="s">
        <v>20</v>
      </c>
      <c r="D10" s="1" t="s">
        <v>21</v>
      </c>
      <c r="E10" s="1">
        <v>71838.86</v>
      </c>
      <c r="F10" s="1">
        <v>10979</v>
      </c>
      <c r="G10" s="1">
        <v>0.215</v>
      </c>
      <c r="H10" s="1">
        <v>26</v>
      </c>
      <c r="I10" s="1">
        <v>88.6</v>
      </c>
      <c r="J10" s="1">
        <v>7.7</v>
      </c>
      <c r="K10" s="1">
        <v>1</v>
      </c>
      <c r="L10" s="1">
        <v>3.8</v>
      </c>
      <c r="M10" s="1">
        <v>930581.7</v>
      </c>
      <c r="N10" s="1">
        <v>136207.98000000001</v>
      </c>
    </row>
    <row r="11" spans="1:14">
      <c r="A11" s="1" t="s">
        <v>19</v>
      </c>
      <c r="B11" s="3">
        <v>45689</v>
      </c>
      <c r="C11" s="1" t="s">
        <v>20</v>
      </c>
      <c r="D11" s="1" t="s">
        <v>21</v>
      </c>
      <c r="E11" s="1">
        <v>68133.440000000002</v>
      </c>
      <c r="F11" s="1">
        <v>9459</v>
      </c>
      <c r="G11" s="1">
        <v>0.22</v>
      </c>
      <c r="H11" s="1">
        <v>21</v>
      </c>
      <c r="I11" s="1">
        <v>85</v>
      </c>
      <c r="J11" s="1">
        <v>1.91</v>
      </c>
      <c r="K11" s="1">
        <v>0</v>
      </c>
      <c r="L11" s="1">
        <v>4.2</v>
      </c>
      <c r="M11" s="1">
        <v>779010.94</v>
      </c>
      <c r="N11" s="1">
        <v>106328.09</v>
      </c>
    </row>
    <row r="12" spans="1:14">
      <c r="A12" s="1" t="s">
        <v>19</v>
      </c>
      <c r="B12" s="3">
        <v>45717</v>
      </c>
      <c r="C12" s="1" t="s">
        <v>20</v>
      </c>
      <c r="D12" s="1" t="s">
        <v>21</v>
      </c>
      <c r="E12" s="1">
        <v>34285.21</v>
      </c>
      <c r="F12" s="1">
        <v>9172</v>
      </c>
      <c r="G12" s="1">
        <v>0.21299999999999999</v>
      </c>
      <c r="H12" s="1">
        <v>22</v>
      </c>
      <c r="I12" s="1">
        <v>88.3</v>
      </c>
      <c r="J12" s="1">
        <v>10.46</v>
      </c>
      <c r="K12" s="1">
        <v>1</v>
      </c>
      <c r="L12" s="1">
        <v>3.8</v>
      </c>
      <c r="M12" s="1">
        <v>723060.76</v>
      </c>
      <c r="N12" s="1">
        <v>123131.24</v>
      </c>
    </row>
    <row r="13" spans="1:14">
      <c r="A13" s="1" t="s">
        <v>19</v>
      </c>
      <c r="B13" s="3">
        <v>45748</v>
      </c>
      <c r="C13" s="1" t="s">
        <v>20</v>
      </c>
      <c r="D13" s="1" t="s">
        <v>21</v>
      </c>
      <c r="E13" s="1">
        <v>67979.88</v>
      </c>
      <c r="F13" s="1">
        <v>11230</v>
      </c>
      <c r="G13" s="1">
        <v>2E-3</v>
      </c>
      <c r="H13" s="1">
        <v>28</v>
      </c>
      <c r="I13" s="1">
        <v>85.3</v>
      </c>
      <c r="J13" s="1">
        <v>7.16</v>
      </c>
      <c r="K13" s="1">
        <v>0</v>
      </c>
      <c r="L13" s="1">
        <v>3.8</v>
      </c>
      <c r="M13" s="1">
        <v>910791.94</v>
      </c>
      <c r="N13" s="1">
        <v>158891.28</v>
      </c>
    </row>
    <row r="14" spans="1:14">
      <c r="A14" s="1" t="s">
        <v>22</v>
      </c>
      <c r="B14" s="3">
        <v>45658</v>
      </c>
      <c r="C14" s="1" t="s">
        <v>15</v>
      </c>
      <c r="D14" s="1" t="s">
        <v>16</v>
      </c>
      <c r="E14" s="1">
        <v>71828.259999999995</v>
      </c>
      <c r="F14" s="1">
        <v>12775</v>
      </c>
      <c r="G14" s="1">
        <v>0.11600000000000001</v>
      </c>
      <c r="H14" s="1">
        <v>30</v>
      </c>
      <c r="I14" s="1">
        <v>81.7</v>
      </c>
      <c r="J14" s="1">
        <v>4.24</v>
      </c>
      <c r="K14" s="1">
        <v>1</v>
      </c>
      <c r="L14" s="1">
        <v>4.2</v>
      </c>
      <c r="M14" s="1">
        <v>922168.6</v>
      </c>
      <c r="N14" s="1">
        <v>107494.53</v>
      </c>
    </row>
    <row r="15" spans="1:14">
      <c r="A15" s="1" t="s">
        <v>22</v>
      </c>
      <c r="B15" s="3">
        <v>45689</v>
      </c>
      <c r="C15" s="1" t="s">
        <v>15</v>
      </c>
      <c r="D15" s="1" t="s">
        <v>16</v>
      </c>
      <c r="E15" s="1">
        <v>55716.82</v>
      </c>
      <c r="F15" s="1">
        <v>10054</v>
      </c>
      <c r="G15" s="1">
        <v>0.14599999999999999</v>
      </c>
      <c r="H15" s="1">
        <v>24</v>
      </c>
      <c r="I15" s="1">
        <v>84.9</v>
      </c>
      <c r="J15" s="1">
        <v>1.06</v>
      </c>
      <c r="K15" s="1">
        <v>0</v>
      </c>
      <c r="L15" s="1">
        <v>4.3</v>
      </c>
      <c r="M15" s="1">
        <v>726606.28</v>
      </c>
      <c r="N15" s="1">
        <v>122729.29</v>
      </c>
    </row>
    <row r="16" spans="1:14">
      <c r="A16" s="1" t="s">
        <v>22</v>
      </c>
      <c r="B16" s="3">
        <v>45717</v>
      </c>
      <c r="C16" s="1" t="s">
        <v>15</v>
      </c>
      <c r="D16" s="1" t="s">
        <v>16</v>
      </c>
      <c r="E16" s="1">
        <v>59909.51</v>
      </c>
      <c r="F16" s="1">
        <v>8895</v>
      </c>
      <c r="G16" s="1">
        <v>0.22800000000000001</v>
      </c>
      <c r="H16" s="1">
        <v>23</v>
      </c>
      <c r="I16" s="1">
        <v>88.8</v>
      </c>
      <c r="J16" s="1">
        <v>0.27</v>
      </c>
      <c r="K16" s="1">
        <v>0</v>
      </c>
      <c r="L16" s="1">
        <v>4.3</v>
      </c>
      <c r="M16" s="1">
        <v>746501.09</v>
      </c>
      <c r="N16" s="1">
        <v>136816.72</v>
      </c>
    </row>
    <row r="17" spans="1:14">
      <c r="A17" s="1" t="s">
        <v>22</v>
      </c>
      <c r="B17" s="3">
        <v>45748</v>
      </c>
      <c r="C17" s="1" t="s">
        <v>15</v>
      </c>
      <c r="D17" s="1" t="s">
        <v>16</v>
      </c>
      <c r="E17" s="1">
        <v>75305.710000000006</v>
      </c>
      <c r="F17" s="1">
        <v>10940</v>
      </c>
      <c r="G17" s="1">
        <v>6.0000000000000001E-3</v>
      </c>
      <c r="H17" s="1">
        <v>26</v>
      </c>
      <c r="I17" s="1">
        <v>76.5</v>
      </c>
      <c r="J17" s="1">
        <v>1.32</v>
      </c>
      <c r="K17" s="1">
        <v>0</v>
      </c>
      <c r="L17" s="1">
        <v>4.5</v>
      </c>
      <c r="M17" s="1">
        <v>834017.02</v>
      </c>
      <c r="N17" s="1">
        <v>114745.03</v>
      </c>
    </row>
    <row r="18" spans="1:14">
      <c r="A18" s="1" t="s">
        <v>23</v>
      </c>
      <c r="B18" s="3">
        <v>45658</v>
      </c>
      <c r="C18" s="1" t="s">
        <v>24</v>
      </c>
      <c r="D18" s="1" t="s">
        <v>16</v>
      </c>
      <c r="E18" s="1">
        <v>48804.22</v>
      </c>
      <c r="F18" s="1">
        <v>7057</v>
      </c>
      <c r="G18" s="1">
        <v>5.0000000000000001E-3</v>
      </c>
      <c r="H18" s="1">
        <v>15</v>
      </c>
      <c r="I18" s="1">
        <v>87.7</v>
      </c>
      <c r="J18" s="1">
        <v>1.22</v>
      </c>
      <c r="K18" s="1">
        <v>0</v>
      </c>
      <c r="L18" s="1">
        <v>3.7</v>
      </c>
      <c r="M18" s="1">
        <v>666152.52</v>
      </c>
      <c r="N18" s="1">
        <v>107490.58</v>
      </c>
    </row>
    <row r="19" spans="1:14">
      <c r="A19" s="1" t="s">
        <v>23</v>
      </c>
      <c r="B19" s="3">
        <v>45689</v>
      </c>
      <c r="C19" s="1" t="s">
        <v>24</v>
      </c>
      <c r="D19" s="1" t="s">
        <v>16</v>
      </c>
      <c r="E19" s="1">
        <v>59117.9</v>
      </c>
      <c r="F19" s="1">
        <v>4263</v>
      </c>
      <c r="G19" s="1">
        <v>0.11899999999999999</v>
      </c>
      <c r="H19" s="1">
        <v>9</v>
      </c>
      <c r="I19" s="1">
        <v>87.6</v>
      </c>
      <c r="J19" s="1">
        <v>4.01</v>
      </c>
      <c r="K19" s="1">
        <v>0</v>
      </c>
      <c r="L19" s="1">
        <v>3.6</v>
      </c>
      <c r="M19" s="1">
        <v>573155.18999999994</v>
      </c>
      <c r="N19" s="1">
        <v>83680.75</v>
      </c>
    </row>
    <row r="20" spans="1:14">
      <c r="A20" s="1" t="s">
        <v>23</v>
      </c>
      <c r="B20" s="3">
        <v>45717</v>
      </c>
      <c r="C20" s="1" t="s">
        <v>24</v>
      </c>
      <c r="D20" s="1" t="s">
        <v>16</v>
      </c>
      <c r="E20" s="1">
        <v>78831.12</v>
      </c>
      <c r="F20" s="1">
        <v>5538</v>
      </c>
      <c r="G20" s="1">
        <v>0</v>
      </c>
      <c r="H20" s="1">
        <v>15</v>
      </c>
      <c r="I20" s="1">
        <v>94.1</v>
      </c>
      <c r="J20" s="1">
        <v>0.2</v>
      </c>
      <c r="K20" s="1">
        <v>0</v>
      </c>
      <c r="L20" s="1">
        <v>3.9</v>
      </c>
      <c r="M20" s="1">
        <v>666573.19999999995</v>
      </c>
      <c r="N20" s="1">
        <v>140641.01999999999</v>
      </c>
    </row>
    <row r="21" spans="1:14">
      <c r="A21" s="1" t="s">
        <v>23</v>
      </c>
      <c r="B21" s="3">
        <v>45748</v>
      </c>
      <c r="C21" s="1" t="s">
        <v>24</v>
      </c>
      <c r="D21" s="1" t="s">
        <v>16</v>
      </c>
      <c r="E21" s="1">
        <v>41441.93</v>
      </c>
      <c r="F21" s="1">
        <v>4865</v>
      </c>
      <c r="G21" s="1">
        <v>0.158</v>
      </c>
      <c r="H21" s="1">
        <v>16</v>
      </c>
      <c r="I21" s="1">
        <v>88.3</v>
      </c>
      <c r="J21" s="1">
        <v>0.5</v>
      </c>
      <c r="K21" s="1">
        <v>0</v>
      </c>
      <c r="L21" s="1">
        <v>4</v>
      </c>
      <c r="M21" s="1">
        <v>591619.94999999995</v>
      </c>
      <c r="N21" s="1">
        <v>99521.35</v>
      </c>
    </row>
    <row r="22" spans="1:14">
      <c r="A22" s="1" t="s">
        <v>25</v>
      </c>
      <c r="B22" s="3">
        <v>45658</v>
      </c>
      <c r="C22" s="1" t="s">
        <v>20</v>
      </c>
      <c r="D22" s="1" t="s">
        <v>16</v>
      </c>
      <c r="E22" s="1">
        <v>30356.28</v>
      </c>
      <c r="F22" s="1">
        <v>2822</v>
      </c>
      <c r="G22" s="1">
        <v>0.23100000000000001</v>
      </c>
      <c r="H22" s="1">
        <v>9</v>
      </c>
      <c r="I22" s="1">
        <v>84.8</v>
      </c>
      <c r="J22" s="1">
        <v>6.95</v>
      </c>
      <c r="K22" s="1">
        <v>0</v>
      </c>
      <c r="L22" s="1">
        <v>5</v>
      </c>
      <c r="M22" s="1">
        <v>415721.82</v>
      </c>
      <c r="N22" s="1">
        <v>61179.15</v>
      </c>
    </row>
    <row r="23" spans="1:14">
      <c r="A23" s="1" t="s">
        <v>25</v>
      </c>
      <c r="B23" s="3">
        <v>45689</v>
      </c>
      <c r="C23" s="1" t="s">
        <v>20</v>
      </c>
      <c r="D23" s="1" t="s">
        <v>16</v>
      </c>
      <c r="E23" s="1">
        <v>33518.879999999997</v>
      </c>
      <c r="F23" s="1">
        <v>2121</v>
      </c>
      <c r="G23" s="1">
        <v>0.17599999999999999</v>
      </c>
      <c r="H23" s="1">
        <v>8</v>
      </c>
      <c r="I23" s="1">
        <v>88.5</v>
      </c>
      <c r="J23" s="1">
        <v>0.2</v>
      </c>
      <c r="K23" s="1">
        <v>0</v>
      </c>
      <c r="L23" s="1">
        <v>5</v>
      </c>
      <c r="M23" s="1">
        <v>491905.13</v>
      </c>
      <c r="N23" s="1">
        <v>79212.259999999995</v>
      </c>
    </row>
    <row r="24" spans="1:14">
      <c r="A24" s="1" t="s">
        <v>25</v>
      </c>
      <c r="B24" s="3">
        <v>45717</v>
      </c>
      <c r="C24" s="1" t="s">
        <v>20</v>
      </c>
      <c r="D24" s="1" t="s">
        <v>16</v>
      </c>
      <c r="E24" s="1">
        <v>42267.37</v>
      </c>
      <c r="F24" s="1">
        <v>3364</v>
      </c>
      <c r="G24" s="1">
        <v>0.16</v>
      </c>
      <c r="H24" s="1">
        <v>13</v>
      </c>
      <c r="I24" s="1">
        <v>82</v>
      </c>
      <c r="J24" s="1">
        <v>1.61</v>
      </c>
      <c r="K24" s="1">
        <v>1</v>
      </c>
      <c r="L24" s="1">
        <v>4.5999999999999996</v>
      </c>
      <c r="M24" s="1">
        <v>555929.4</v>
      </c>
      <c r="N24" s="1">
        <v>115201.76</v>
      </c>
    </row>
    <row r="25" spans="1:14">
      <c r="A25" s="1" t="s">
        <v>25</v>
      </c>
      <c r="B25" s="3">
        <v>45748</v>
      </c>
      <c r="C25" s="1" t="s">
        <v>20</v>
      </c>
      <c r="D25" s="1" t="s">
        <v>16</v>
      </c>
      <c r="E25" s="1">
        <v>62060.43</v>
      </c>
      <c r="F25" s="1">
        <v>2613</v>
      </c>
      <c r="G25" s="1">
        <v>0.216</v>
      </c>
      <c r="H25" s="1">
        <v>12</v>
      </c>
      <c r="I25" s="1">
        <v>92.1</v>
      </c>
      <c r="J25" s="1">
        <v>1.55</v>
      </c>
      <c r="K25" s="1">
        <v>0</v>
      </c>
      <c r="L25" s="1">
        <v>4.7</v>
      </c>
      <c r="M25" s="1">
        <v>565810.99</v>
      </c>
      <c r="N25" s="1">
        <v>77825.460000000006</v>
      </c>
    </row>
    <row r="26" spans="1:14">
      <c r="A26" s="1" t="s">
        <v>26</v>
      </c>
      <c r="B26" s="3">
        <v>45658</v>
      </c>
      <c r="C26" s="1" t="s">
        <v>27</v>
      </c>
      <c r="D26" s="1" t="s">
        <v>28</v>
      </c>
      <c r="E26" s="1">
        <v>57696.69</v>
      </c>
      <c r="F26" s="1">
        <v>10218</v>
      </c>
      <c r="G26" s="1">
        <v>0.121</v>
      </c>
      <c r="H26" s="1">
        <v>25</v>
      </c>
      <c r="I26" s="1">
        <v>94.8</v>
      </c>
      <c r="J26" s="1">
        <v>2.99</v>
      </c>
      <c r="K26" s="1">
        <v>0</v>
      </c>
      <c r="L26" s="1">
        <v>3.5</v>
      </c>
      <c r="M26" s="1">
        <v>811771.14</v>
      </c>
      <c r="N26" s="1">
        <v>148756.24</v>
      </c>
    </row>
    <row r="27" spans="1:14">
      <c r="A27" s="1" t="s">
        <v>26</v>
      </c>
      <c r="B27" s="3">
        <v>45689</v>
      </c>
      <c r="C27" s="1" t="s">
        <v>27</v>
      </c>
      <c r="D27" s="1" t="s">
        <v>28</v>
      </c>
      <c r="E27" s="1">
        <v>172415.52</v>
      </c>
      <c r="F27" s="1">
        <v>8927</v>
      </c>
      <c r="G27" s="1">
        <v>0.14000000000000001</v>
      </c>
      <c r="H27" s="1">
        <v>22</v>
      </c>
      <c r="I27" s="1">
        <v>86.2</v>
      </c>
      <c r="J27" s="1">
        <v>7.04</v>
      </c>
      <c r="K27" s="1">
        <v>0</v>
      </c>
      <c r="L27" s="1">
        <v>3.9</v>
      </c>
      <c r="M27" s="1">
        <v>800451.94</v>
      </c>
      <c r="N27" s="1">
        <v>111572.29</v>
      </c>
    </row>
    <row r="28" spans="1:14">
      <c r="A28" s="1" t="s">
        <v>26</v>
      </c>
      <c r="B28" s="3">
        <v>45717</v>
      </c>
      <c r="C28" s="1" t="s">
        <v>27</v>
      </c>
      <c r="D28" s="1" t="s">
        <v>28</v>
      </c>
      <c r="E28" s="1">
        <v>55270.52</v>
      </c>
      <c r="F28" s="1">
        <v>9315</v>
      </c>
      <c r="G28" s="1">
        <v>0.16900000000000001</v>
      </c>
      <c r="H28" s="1">
        <v>23</v>
      </c>
      <c r="I28" s="1">
        <v>91.9</v>
      </c>
      <c r="J28" s="1">
        <v>4.9400000000000004</v>
      </c>
      <c r="K28" s="1">
        <v>0</v>
      </c>
      <c r="L28" s="1">
        <v>4</v>
      </c>
      <c r="M28" s="1">
        <v>783672.82</v>
      </c>
      <c r="N28" s="1">
        <v>112577.14</v>
      </c>
    </row>
    <row r="29" spans="1:14">
      <c r="A29" s="1" t="s">
        <v>26</v>
      </c>
      <c r="B29" s="3">
        <v>45748</v>
      </c>
      <c r="C29" s="1" t="s">
        <v>27</v>
      </c>
      <c r="D29" s="1" t="s">
        <v>28</v>
      </c>
      <c r="E29" s="1">
        <v>52715.1</v>
      </c>
      <c r="F29" s="1">
        <v>7223</v>
      </c>
      <c r="G29" s="1">
        <v>0.122</v>
      </c>
      <c r="H29" s="1">
        <v>16</v>
      </c>
      <c r="I29" s="1">
        <v>84.2</v>
      </c>
      <c r="J29" s="1">
        <v>16.149999999999999</v>
      </c>
      <c r="K29" s="1">
        <v>0</v>
      </c>
      <c r="L29" s="1">
        <v>3.7</v>
      </c>
      <c r="M29" s="1">
        <v>701641.97</v>
      </c>
      <c r="N29" s="1">
        <v>106111.86</v>
      </c>
    </row>
    <row r="30" spans="1:14">
      <c r="A30" s="1" t="s">
        <v>29</v>
      </c>
      <c r="B30" s="3">
        <v>45658</v>
      </c>
      <c r="C30" s="1" t="s">
        <v>15</v>
      </c>
      <c r="D30" s="1" t="s">
        <v>16</v>
      </c>
      <c r="E30" s="1">
        <v>68600.62</v>
      </c>
      <c r="F30" s="1">
        <v>3988</v>
      </c>
      <c r="G30" s="1">
        <v>0.124</v>
      </c>
      <c r="H30" s="1">
        <v>11</v>
      </c>
      <c r="I30" s="1">
        <v>85</v>
      </c>
      <c r="J30" s="1">
        <v>0.48</v>
      </c>
      <c r="K30" s="1">
        <v>0</v>
      </c>
      <c r="L30" s="1">
        <v>3.6</v>
      </c>
      <c r="M30" s="1">
        <v>511844.41</v>
      </c>
      <c r="N30" s="1">
        <v>72774.44</v>
      </c>
    </row>
    <row r="31" spans="1:14">
      <c r="A31" s="1" t="s">
        <v>29</v>
      </c>
      <c r="B31" s="3">
        <v>45689</v>
      </c>
      <c r="C31" s="1" t="s">
        <v>15</v>
      </c>
      <c r="D31" s="1" t="s">
        <v>16</v>
      </c>
      <c r="E31" s="1">
        <v>63176.73</v>
      </c>
      <c r="F31" s="1">
        <v>2390</v>
      </c>
      <c r="G31" s="1">
        <v>0.216</v>
      </c>
      <c r="H31" s="1">
        <v>9</v>
      </c>
      <c r="I31" s="1">
        <v>87.5</v>
      </c>
      <c r="J31" s="1">
        <v>0.31</v>
      </c>
      <c r="K31" s="1">
        <v>0</v>
      </c>
      <c r="L31" s="1">
        <v>3.1</v>
      </c>
      <c r="M31" s="1">
        <v>537383.79</v>
      </c>
      <c r="N31" s="1">
        <v>63773.27</v>
      </c>
    </row>
    <row r="32" spans="1:14">
      <c r="A32" s="1" t="s">
        <v>29</v>
      </c>
      <c r="B32" s="3">
        <v>45717</v>
      </c>
      <c r="C32" s="1" t="s">
        <v>15</v>
      </c>
      <c r="D32" s="1" t="s">
        <v>16</v>
      </c>
      <c r="E32" s="1">
        <v>44970.080000000002</v>
      </c>
      <c r="F32" s="1">
        <v>2471</v>
      </c>
      <c r="G32" s="1">
        <v>0.13600000000000001</v>
      </c>
      <c r="H32" s="1">
        <v>11</v>
      </c>
      <c r="I32" s="1">
        <v>87.6</v>
      </c>
      <c r="J32" s="1">
        <v>3.01</v>
      </c>
      <c r="K32" s="1">
        <v>1</v>
      </c>
      <c r="L32" s="1">
        <v>3.7</v>
      </c>
      <c r="M32" s="1">
        <v>500173.02</v>
      </c>
      <c r="N32" s="1">
        <v>70982.05</v>
      </c>
    </row>
    <row r="33" spans="1:14">
      <c r="A33" s="1" t="s">
        <v>29</v>
      </c>
      <c r="B33" s="3">
        <v>45748</v>
      </c>
      <c r="C33" s="1" t="s">
        <v>15</v>
      </c>
      <c r="D33" s="1" t="s">
        <v>16</v>
      </c>
      <c r="E33" s="1">
        <v>69816.350000000006</v>
      </c>
      <c r="F33" s="1">
        <v>971</v>
      </c>
      <c r="G33" s="1">
        <v>0.16800000000000001</v>
      </c>
      <c r="H33" s="1">
        <v>5</v>
      </c>
      <c r="I33" s="1">
        <v>89.9</v>
      </c>
      <c r="J33" s="1">
        <v>12.15</v>
      </c>
      <c r="K33" s="1">
        <v>0</v>
      </c>
      <c r="L33" s="1">
        <v>3.6</v>
      </c>
      <c r="M33" s="1">
        <v>427917.38</v>
      </c>
      <c r="N33" s="1">
        <v>81824.31</v>
      </c>
    </row>
    <row r="34" spans="1:14">
      <c r="A34" s="1" t="s">
        <v>30</v>
      </c>
      <c r="B34" s="3">
        <v>45658</v>
      </c>
      <c r="C34" s="1" t="s">
        <v>20</v>
      </c>
      <c r="D34" s="1" t="s">
        <v>16</v>
      </c>
      <c r="E34" s="1">
        <v>54597.83</v>
      </c>
      <c r="F34" s="1">
        <v>9429</v>
      </c>
      <c r="G34" s="1">
        <v>0.188</v>
      </c>
      <c r="H34" s="1">
        <v>21</v>
      </c>
      <c r="I34" s="1">
        <v>83.3</v>
      </c>
      <c r="J34" s="1">
        <v>11.71</v>
      </c>
      <c r="K34" s="1">
        <v>0</v>
      </c>
      <c r="L34" s="1">
        <v>4.2</v>
      </c>
      <c r="M34" s="1">
        <v>641865.03</v>
      </c>
      <c r="N34" s="1">
        <v>81342.58</v>
      </c>
    </row>
    <row r="35" spans="1:14">
      <c r="A35" s="1" t="s">
        <v>30</v>
      </c>
      <c r="B35" s="3">
        <v>45689</v>
      </c>
      <c r="C35" s="1" t="s">
        <v>20</v>
      </c>
      <c r="D35" s="1" t="s">
        <v>16</v>
      </c>
      <c r="E35" s="1">
        <v>73771.91</v>
      </c>
      <c r="F35" s="1">
        <v>11695</v>
      </c>
      <c r="G35" s="1">
        <v>7.0000000000000007E-2</v>
      </c>
      <c r="H35" s="1">
        <v>25</v>
      </c>
      <c r="I35" s="1">
        <v>84.7</v>
      </c>
      <c r="J35" s="1">
        <v>0.62</v>
      </c>
      <c r="K35" s="1">
        <v>0</v>
      </c>
      <c r="L35" s="1"/>
      <c r="M35" s="1">
        <v>799477.76000000001</v>
      </c>
      <c r="N35" s="1">
        <v>164974.41</v>
      </c>
    </row>
    <row r="36" spans="1:14">
      <c r="A36" s="1" t="s">
        <v>30</v>
      </c>
      <c r="B36" s="3">
        <v>45717</v>
      </c>
      <c r="C36" s="1" t="s">
        <v>20</v>
      </c>
      <c r="D36" s="1" t="s">
        <v>16</v>
      </c>
      <c r="E36" s="1">
        <v>74413.88</v>
      </c>
      <c r="F36" s="1">
        <v>9449</v>
      </c>
      <c r="G36" s="1">
        <v>3.9E-2</v>
      </c>
      <c r="H36" s="1">
        <v>23</v>
      </c>
      <c r="I36" s="1">
        <v>92.1</v>
      </c>
      <c r="J36" s="1">
        <v>2.12</v>
      </c>
      <c r="K36" s="1">
        <v>0</v>
      </c>
      <c r="L36" s="1">
        <v>3.5</v>
      </c>
      <c r="M36" s="1">
        <v>798952.17</v>
      </c>
      <c r="N36" s="1">
        <v>161499.04</v>
      </c>
    </row>
    <row r="37" spans="1:14">
      <c r="A37" s="1" t="s">
        <v>30</v>
      </c>
      <c r="B37" s="3">
        <v>45748</v>
      </c>
      <c r="C37" s="1" t="s">
        <v>20</v>
      </c>
      <c r="D37" s="1" t="s">
        <v>16</v>
      </c>
      <c r="E37" s="1">
        <v>52483.77</v>
      </c>
      <c r="F37" s="1">
        <v>10453</v>
      </c>
      <c r="G37" s="1">
        <v>0.247</v>
      </c>
      <c r="H37" s="1">
        <v>25</v>
      </c>
      <c r="I37" s="1">
        <v>99</v>
      </c>
      <c r="J37" s="1">
        <v>6.31</v>
      </c>
      <c r="K37" s="1">
        <v>0</v>
      </c>
      <c r="L37" s="1">
        <v>3.6</v>
      </c>
      <c r="M37" s="1">
        <v>800979.78</v>
      </c>
      <c r="N37" s="1">
        <v>149242.26999999999</v>
      </c>
    </row>
    <row r="38" spans="1:14">
      <c r="A38" s="1" t="s">
        <v>31</v>
      </c>
      <c r="B38" s="3">
        <v>45658</v>
      </c>
      <c r="C38" s="1" t="s">
        <v>20</v>
      </c>
      <c r="D38" s="1" t="s">
        <v>28</v>
      </c>
      <c r="E38" s="1">
        <v>75269.87</v>
      </c>
      <c r="F38" s="1">
        <v>8838</v>
      </c>
      <c r="G38" s="1">
        <v>9.1999999999999998E-2</v>
      </c>
      <c r="H38" s="1">
        <v>21</v>
      </c>
      <c r="I38" s="1">
        <v>83.1</v>
      </c>
      <c r="J38" s="1">
        <v>9.56</v>
      </c>
      <c r="K38" s="1">
        <v>1</v>
      </c>
      <c r="L38" s="1">
        <v>4.2</v>
      </c>
      <c r="M38" s="1">
        <v>820593.93</v>
      </c>
      <c r="N38" s="1">
        <v>115860.06</v>
      </c>
    </row>
    <row r="39" spans="1:14">
      <c r="A39" s="1" t="s">
        <v>31</v>
      </c>
      <c r="B39" s="3">
        <v>45689</v>
      </c>
      <c r="C39" s="1" t="s">
        <v>20</v>
      </c>
      <c r="D39" s="1" t="s">
        <v>28</v>
      </c>
      <c r="E39" s="1">
        <v>61245.41</v>
      </c>
      <c r="F39" s="1">
        <v>8156</v>
      </c>
      <c r="G39" s="1">
        <v>0.156</v>
      </c>
      <c r="H39" s="1">
        <v>19</v>
      </c>
      <c r="I39" s="1">
        <v>92.9</v>
      </c>
      <c r="J39" s="1">
        <v>9.0500000000000007</v>
      </c>
      <c r="K39" s="1">
        <v>0</v>
      </c>
      <c r="L39" s="1">
        <v>3.8</v>
      </c>
      <c r="M39" s="1">
        <v>718330.53</v>
      </c>
      <c r="N39" s="1">
        <v>93247.9</v>
      </c>
    </row>
    <row r="40" spans="1:14">
      <c r="A40" s="1" t="s">
        <v>31</v>
      </c>
      <c r="B40" s="3">
        <v>45717</v>
      </c>
      <c r="C40" s="1" t="s">
        <v>20</v>
      </c>
      <c r="D40" s="1" t="s">
        <v>28</v>
      </c>
      <c r="E40" s="1">
        <v>93381.26</v>
      </c>
      <c r="F40" s="1">
        <v>7562</v>
      </c>
      <c r="G40" s="1">
        <v>0.19800000000000001</v>
      </c>
      <c r="H40" s="1">
        <v>19</v>
      </c>
      <c r="I40" s="1">
        <v>82.9</v>
      </c>
      <c r="J40" s="1">
        <v>5.05</v>
      </c>
      <c r="K40" s="1">
        <v>0</v>
      </c>
      <c r="L40" s="1">
        <v>4</v>
      </c>
      <c r="M40" s="1">
        <v>736633.4</v>
      </c>
      <c r="N40" s="1">
        <v>115654.66</v>
      </c>
    </row>
    <row r="41" spans="1:14">
      <c r="A41" s="1" t="s">
        <v>31</v>
      </c>
      <c r="B41" s="3">
        <v>45748</v>
      </c>
      <c r="C41" s="1" t="s">
        <v>20</v>
      </c>
      <c r="D41" s="1" t="s">
        <v>28</v>
      </c>
      <c r="E41" s="1">
        <v>65012.19</v>
      </c>
      <c r="F41" s="1">
        <v>9598</v>
      </c>
      <c r="G41" s="1">
        <v>8.5000000000000006E-2</v>
      </c>
      <c r="H41" s="1">
        <v>24</v>
      </c>
      <c r="I41" s="1">
        <v>98.3</v>
      </c>
      <c r="J41" s="1">
        <v>0.89</v>
      </c>
      <c r="K41" s="1">
        <v>0</v>
      </c>
      <c r="L41" s="1">
        <v>3.8</v>
      </c>
      <c r="M41" s="1">
        <v>828623.85</v>
      </c>
      <c r="N41" s="1">
        <v>167320.51999999999</v>
      </c>
    </row>
    <row r="42" spans="1:14">
      <c r="A42" s="1" t="s">
        <v>32</v>
      </c>
      <c r="B42" s="3">
        <v>45658</v>
      </c>
      <c r="C42" s="1" t="s">
        <v>15</v>
      </c>
      <c r="D42" s="1" t="s">
        <v>28</v>
      </c>
      <c r="E42" s="1">
        <v>40462.94</v>
      </c>
      <c r="F42" s="1">
        <v>3660</v>
      </c>
      <c r="G42" s="1">
        <v>0.218</v>
      </c>
      <c r="H42" s="1">
        <v>11</v>
      </c>
      <c r="I42" s="1">
        <v>95.2</v>
      </c>
      <c r="J42" s="1">
        <v>5.57</v>
      </c>
      <c r="K42" s="1">
        <v>0</v>
      </c>
      <c r="L42" s="1">
        <v>4.4000000000000004</v>
      </c>
      <c r="M42" s="1">
        <v>592195.85</v>
      </c>
      <c r="N42" s="1">
        <v>92291.56</v>
      </c>
    </row>
    <row r="43" spans="1:14">
      <c r="A43" s="1" t="s">
        <v>32</v>
      </c>
      <c r="B43" s="3">
        <v>45689</v>
      </c>
      <c r="C43" s="1" t="s">
        <v>15</v>
      </c>
      <c r="D43" s="1" t="s">
        <v>28</v>
      </c>
      <c r="E43" s="1">
        <v>46123.88</v>
      </c>
      <c r="F43" s="1">
        <v>3227</v>
      </c>
      <c r="G43" s="1">
        <v>0.14299999999999999</v>
      </c>
      <c r="H43" s="1">
        <v>10</v>
      </c>
      <c r="I43" s="1">
        <v>75.400000000000006</v>
      </c>
      <c r="J43" s="1">
        <v>1.06</v>
      </c>
      <c r="K43" s="1">
        <v>0</v>
      </c>
      <c r="L43" s="1">
        <v>4.4000000000000004</v>
      </c>
      <c r="M43" s="1">
        <v>532644.46</v>
      </c>
      <c r="N43" s="1">
        <v>60681.32</v>
      </c>
    </row>
    <row r="44" spans="1:14">
      <c r="A44" s="1" t="s">
        <v>32</v>
      </c>
      <c r="B44" s="3">
        <v>45717</v>
      </c>
      <c r="C44" s="1" t="s">
        <v>15</v>
      </c>
      <c r="D44" s="1" t="s">
        <v>28</v>
      </c>
      <c r="E44" s="1">
        <v>68077.539999999994</v>
      </c>
      <c r="F44" s="1">
        <v>3360</v>
      </c>
      <c r="G44" s="1">
        <v>0.128</v>
      </c>
      <c r="H44" s="1">
        <v>14</v>
      </c>
      <c r="I44" s="1">
        <v>88.2</v>
      </c>
      <c r="J44" s="1">
        <v>1.24</v>
      </c>
      <c r="K44" s="1">
        <v>1</v>
      </c>
      <c r="L44" s="1">
        <v>4</v>
      </c>
      <c r="M44" s="1">
        <v>657429.18000000005</v>
      </c>
      <c r="N44" s="1">
        <v>88919.74</v>
      </c>
    </row>
    <row r="45" spans="1:14">
      <c r="A45" s="1" t="s">
        <v>32</v>
      </c>
      <c r="B45" s="3">
        <v>45748</v>
      </c>
      <c r="C45" s="1" t="s">
        <v>15</v>
      </c>
      <c r="D45" s="1" t="s">
        <v>28</v>
      </c>
      <c r="E45" s="1">
        <v>64882.14</v>
      </c>
      <c r="F45" s="1">
        <v>3642</v>
      </c>
      <c r="G45" s="1">
        <v>1.9E-2</v>
      </c>
      <c r="H45" s="1">
        <v>13</v>
      </c>
      <c r="I45" s="1">
        <v>87.8</v>
      </c>
      <c r="J45" s="1">
        <v>4.5199999999999996</v>
      </c>
      <c r="K45" s="1">
        <v>0</v>
      </c>
      <c r="L45" s="1">
        <v>4.2</v>
      </c>
      <c r="M45" s="1">
        <v>605178</v>
      </c>
      <c r="N45" s="1">
        <v>106958.74</v>
      </c>
    </row>
    <row r="46" spans="1:14">
      <c r="A46" s="1" t="s">
        <v>33</v>
      </c>
      <c r="B46" s="3">
        <v>45658</v>
      </c>
      <c r="C46" s="1" t="s">
        <v>27</v>
      </c>
      <c r="D46" s="1" t="s">
        <v>16</v>
      </c>
      <c r="E46" s="1">
        <v>138855.51</v>
      </c>
      <c r="F46" s="1">
        <v>5145</v>
      </c>
      <c r="G46" s="1">
        <v>0.06</v>
      </c>
      <c r="H46" s="1">
        <v>17</v>
      </c>
      <c r="I46" s="1">
        <v>88.2</v>
      </c>
      <c r="J46" s="1">
        <v>9.58</v>
      </c>
      <c r="K46" s="1">
        <v>0</v>
      </c>
      <c r="L46" s="1">
        <v>3.2</v>
      </c>
      <c r="M46" s="1">
        <v>595467.6</v>
      </c>
      <c r="N46" s="1">
        <v>104276.46</v>
      </c>
    </row>
    <row r="47" spans="1:14">
      <c r="A47" s="1" t="s">
        <v>33</v>
      </c>
      <c r="B47" s="3">
        <v>45689</v>
      </c>
      <c r="C47" s="1" t="s">
        <v>27</v>
      </c>
      <c r="D47" s="1" t="s">
        <v>16</v>
      </c>
      <c r="E47" s="1">
        <v>63630.21</v>
      </c>
      <c r="F47" s="1">
        <v>4460</v>
      </c>
      <c r="G47" s="1">
        <v>0.23499999999999999</v>
      </c>
      <c r="H47" s="1">
        <v>14</v>
      </c>
      <c r="I47" s="1">
        <v>98.6</v>
      </c>
      <c r="J47" s="1">
        <v>5.52</v>
      </c>
      <c r="K47" s="1">
        <v>0</v>
      </c>
      <c r="L47" s="1">
        <v>3.5</v>
      </c>
      <c r="M47" s="1">
        <v>599603.4</v>
      </c>
      <c r="N47" s="1">
        <v>112685.12</v>
      </c>
    </row>
    <row r="48" spans="1:14">
      <c r="A48" s="1" t="s">
        <v>33</v>
      </c>
      <c r="B48" s="3">
        <v>45717</v>
      </c>
      <c r="C48" s="1" t="s">
        <v>27</v>
      </c>
      <c r="D48" s="1" t="s">
        <v>16</v>
      </c>
      <c r="E48" s="1">
        <v>50043.65</v>
      </c>
      <c r="F48" s="1">
        <v>3804</v>
      </c>
      <c r="G48" s="1">
        <v>0.113</v>
      </c>
      <c r="H48" s="1">
        <v>11</v>
      </c>
      <c r="I48" s="1">
        <v>90.9</v>
      </c>
      <c r="J48" s="1">
        <v>2.7</v>
      </c>
      <c r="K48" s="1">
        <v>1</v>
      </c>
      <c r="L48" s="1">
        <v>3.2</v>
      </c>
      <c r="M48" s="1">
        <v>614800.09</v>
      </c>
      <c r="N48" s="1">
        <v>100044.2</v>
      </c>
    </row>
    <row r="49" spans="1:14">
      <c r="A49" s="1" t="s">
        <v>33</v>
      </c>
      <c r="B49" s="3">
        <v>45748</v>
      </c>
      <c r="C49" s="1" t="s">
        <v>27</v>
      </c>
      <c r="D49" s="1" t="s">
        <v>16</v>
      </c>
      <c r="E49" s="1">
        <v>42093.84</v>
      </c>
      <c r="F49" s="1">
        <v>4074</v>
      </c>
      <c r="G49" s="1">
        <v>0.155</v>
      </c>
      <c r="H49" s="1">
        <v>15</v>
      </c>
      <c r="I49" s="1">
        <v>88</v>
      </c>
      <c r="J49" s="1">
        <v>9.64</v>
      </c>
      <c r="K49" s="1">
        <v>0</v>
      </c>
      <c r="L49" s="1">
        <v>3.3</v>
      </c>
      <c r="M49" s="1">
        <v>585365.73</v>
      </c>
      <c r="N49" s="1">
        <v>81011.520000000004</v>
      </c>
    </row>
    <row r="50" spans="1:14">
      <c r="A50" s="1" t="s">
        <v>34</v>
      </c>
      <c r="B50" s="3">
        <v>45658</v>
      </c>
      <c r="C50" s="1" t="s">
        <v>20</v>
      </c>
      <c r="D50" s="1" t="s">
        <v>28</v>
      </c>
      <c r="E50" s="1">
        <v>46624.05</v>
      </c>
      <c r="F50" s="1">
        <v>5104</v>
      </c>
      <c r="G50" s="1">
        <v>0.109</v>
      </c>
      <c r="H50" s="1">
        <v>11</v>
      </c>
      <c r="I50" s="1">
        <v>97.3</v>
      </c>
      <c r="J50" s="1">
        <v>3.49</v>
      </c>
      <c r="K50" s="1">
        <v>1</v>
      </c>
      <c r="L50" s="1">
        <v>4.7</v>
      </c>
      <c r="M50" s="1">
        <v>622811.74</v>
      </c>
      <c r="N50" s="1">
        <v>109978.35</v>
      </c>
    </row>
    <row r="51" spans="1:14">
      <c r="A51" s="1" t="s">
        <v>34</v>
      </c>
      <c r="B51" s="3">
        <v>45689</v>
      </c>
      <c r="C51" s="1" t="s">
        <v>20</v>
      </c>
      <c r="D51" s="1" t="s">
        <v>28</v>
      </c>
      <c r="E51" s="1">
        <v>49710.29</v>
      </c>
      <c r="F51" s="1">
        <v>5559</v>
      </c>
      <c r="G51" s="1">
        <v>0.218</v>
      </c>
      <c r="H51" s="1">
        <v>14</v>
      </c>
      <c r="I51" s="1">
        <v>71</v>
      </c>
      <c r="J51" s="1">
        <v>9.11</v>
      </c>
      <c r="K51" s="1">
        <v>0</v>
      </c>
      <c r="L51" s="1">
        <v>4.5999999999999996</v>
      </c>
      <c r="M51" s="1">
        <v>603297.56999999995</v>
      </c>
      <c r="N51" s="1">
        <v>60592.26</v>
      </c>
    </row>
    <row r="52" spans="1:14">
      <c r="A52" s="1" t="s">
        <v>34</v>
      </c>
      <c r="B52" s="3">
        <v>45717</v>
      </c>
      <c r="C52" s="1" t="s">
        <v>20</v>
      </c>
      <c r="D52" s="1" t="s">
        <v>28</v>
      </c>
      <c r="E52" s="1">
        <v>48287.85</v>
      </c>
      <c r="F52" s="1">
        <v>5150</v>
      </c>
      <c r="G52" s="1">
        <v>8.0000000000000002E-3</v>
      </c>
      <c r="H52" s="1">
        <v>12</v>
      </c>
      <c r="I52" s="1">
        <v>80.400000000000006</v>
      </c>
      <c r="J52" s="1">
        <v>7.4</v>
      </c>
      <c r="K52" s="1">
        <v>0</v>
      </c>
      <c r="L52" s="1">
        <v>4.5</v>
      </c>
      <c r="M52" s="1">
        <v>625672.86</v>
      </c>
      <c r="N52" s="1">
        <v>118020.12</v>
      </c>
    </row>
    <row r="53" spans="1:14">
      <c r="A53" s="1" t="s">
        <v>34</v>
      </c>
      <c r="B53" s="3">
        <v>45748</v>
      </c>
      <c r="C53" s="1" t="s">
        <v>20</v>
      </c>
      <c r="D53" s="1" t="s">
        <v>28</v>
      </c>
      <c r="E53" s="1">
        <v>65312.49</v>
      </c>
      <c r="F53" s="1">
        <v>7189</v>
      </c>
      <c r="G53" s="1">
        <v>0.05</v>
      </c>
      <c r="H53" s="1">
        <v>19</v>
      </c>
      <c r="I53" s="1">
        <v>93.7</v>
      </c>
      <c r="J53" s="1">
        <v>7.16</v>
      </c>
      <c r="K53" s="1">
        <v>0</v>
      </c>
      <c r="L53" s="1">
        <v>4.5999999999999996</v>
      </c>
      <c r="M53" s="1">
        <v>773815.14</v>
      </c>
      <c r="N53" s="1">
        <v>133948.39000000001</v>
      </c>
    </row>
    <row r="54" spans="1:14">
      <c r="A54" s="1" t="s">
        <v>35</v>
      </c>
      <c r="B54" s="3">
        <v>45658</v>
      </c>
      <c r="C54" s="1" t="s">
        <v>27</v>
      </c>
      <c r="D54" s="1" t="s">
        <v>18</v>
      </c>
      <c r="E54" s="1">
        <v>53015.46</v>
      </c>
      <c r="F54" s="1">
        <v>3279</v>
      </c>
      <c r="G54" s="1">
        <v>8.6999999999999994E-2</v>
      </c>
      <c r="H54" s="1">
        <v>9</v>
      </c>
      <c r="I54" s="1">
        <v>84.3</v>
      </c>
      <c r="J54" s="1">
        <v>22.02</v>
      </c>
      <c r="K54" s="1">
        <v>0</v>
      </c>
      <c r="L54" s="1">
        <v>3.9</v>
      </c>
      <c r="M54" s="1">
        <v>463534.25</v>
      </c>
      <c r="N54" s="1">
        <v>81834.539999999994</v>
      </c>
    </row>
    <row r="55" spans="1:14">
      <c r="A55" s="1" t="s">
        <v>35</v>
      </c>
      <c r="B55" s="3">
        <v>45689</v>
      </c>
      <c r="C55" s="1" t="s">
        <v>27</v>
      </c>
      <c r="D55" s="1" t="s">
        <v>18</v>
      </c>
      <c r="E55" s="1">
        <v>99874.01</v>
      </c>
      <c r="F55" s="1">
        <v>5887</v>
      </c>
      <c r="G55" s="1">
        <v>0.26200000000000001</v>
      </c>
      <c r="H55" s="1">
        <v>14</v>
      </c>
      <c r="I55" s="1">
        <v>88.7</v>
      </c>
      <c r="J55" s="1">
        <v>6.18</v>
      </c>
      <c r="K55" s="1">
        <v>0</v>
      </c>
      <c r="L55" s="1">
        <v>4.7</v>
      </c>
      <c r="M55" s="1">
        <v>746677.75</v>
      </c>
      <c r="N55" s="1">
        <v>122437.84</v>
      </c>
    </row>
    <row r="56" spans="1:14">
      <c r="A56" s="1" t="s">
        <v>35</v>
      </c>
      <c r="B56" s="3">
        <v>45717</v>
      </c>
      <c r="C56" s="1" t="s">
        <v>27</v>
      </c>
      <c r="D56" s="1" t="s">
        <v>18</v>
      </c>
      <c r="E56" s="1">
        <v>81195.5</v>
      </c>
      <c r="F56" s="1">
        <v>5516</v>
      </c>
      <c r="G56" s="1">
        <v>0.106</v>
      </c>
      <c r="H56" s="1">
        <v>14</v>
      </c>
      <c r="I56" s="1">
        <v>88</v>
      </c>
      <c r="J56" s="1">
        <v>1.76</v>
      </c>
      <c r="K56" s="1">
        <v>0</v>
      </c>
      <c r="L56" s="1">
        <v>4.3</v>
      </c>
      <c r="M56" s="1">
        <v>720852.5</v>
      </c>
      <c r="N56" s="1">
        <v>98565.62</v>
      </c>
    </row>
    <row r="57" spans="1:14">
      <c r="A57" s="1" t="s">
        <v>35</v>
      </c>
      <c r="B57" s="3">
        <v>45748</v>
      </c>
      <c r="C57" s="1" t="s">
        <v>27</v>
      </c>
      <c r="D57" s="1" t="s">
        <v>18</v>
      </c>
      <c r="E57" s="1">
        <v>27808.6</v>
      </c>
      <c r="F57" s="1">
        <v>2863</v>
      </c>
      <c r="G57" s="1">
        <v>0.08</v>
      </c>
      <c r="H57" s="1">
        <v>13</v>
      </c>
      <c r="I57" s="1">
        <v>89.3</v>
      </c>
      <c r="J57" s="1">
        <v>0.47</v>
      </c>
      <c r="K57" s="1">
        <v>0</v>
      </c>
      <c r="L57" s="1">
        <v>4.0999999999999996</v>
      </c>
      <c r="M57" s="1">
        <v>487464.91</v>
      </c>
      <c r="N57" s="1">
        <v>64562.26</v>
      </c>
    </row>
    <row r="58" spans="1:14">
      <c r="A58" s="1" t="s">
        <v>36</v>
      </c>
      <c r="B58" s="3">
        <v>45658</v>
      </c>
      <c r="C58" s="1" t="s">
        <v>15</v>
      </c>
      <c r="D58" s="1" t="s">
        <v>21</v>
      </c>
      <c r="E58" s="1">
        <v>19365.060000000001</v>
      </c>
      <c r="F58" s="1">
        <v>2378</v>
      </c>
      <c r="G58" s="1">
        <v>0</v>
      </c>
      <c r="H58" s="1">
        <v>12</v>
      </c>
      <c r="I58" s="1">
        <v>94.8</v>
      </c>
      <c r="J58" s="1">
        <v>0.2</v>
      </c>
      <c r="K58" s="1">
        <v>0</v>
      </c>
      <c r="L58" s="1">
        <v>3.5</v>
      </c>
      <c r="M58" s="1">
        <v>518049.26</v>
      </c>
      <c r="N58" s="1">
        <v>108592.49</v>
      </c>
    </row>
    <row r="59" spans="1:14">
      <c r="A59" s="1" t="s">
        <v>36</v>
      </c>
      <c r="B59" s="3">
        <v>45689</v>
      </c>
      <c r="C59" s="1" t="s">
        <v>15</v>
      </c>
      <c r="D59" s="1" t="s">
        <v>21</v>
      </c>
      <c r="E59" s="1">
        <v>59405.68</v>
      </c>
      <c r="F59" s="1">
        <v>2515</v>
      </c>
      <c r="G59" s="1">
        <v>3.9E-2</v>
      </c>
      <c r="H59" s="1">
        <v>12</v>
      </c>
      <c r="I59" s="1">
        <v>76</v>
      </c>
      <c r="J59" s="1">
        <v>5.1100000000000003</v>
      </c>
      <c r="K59" s="1">
        <v>0</v>
      </c>
      <c r="L59" s="1">
        <v>3.7</v>
      </c>
      <c r="M59" s="1">
        <v>500298.48</v>
      </c>
      <c r="N59" s="1">
        <v>73461.320000000007</v>
      </c>
    </row>
    <row r="60" spans="1:14">
      <c r="A60" s="1" t="s">
        <v>36</v>
      </c>
      <c r="B60" s="3">
        <v>45717</v>
      </c>
      <c r="C60" s="1" t="s">
        <v>15</v>
      </c>
      <c r="D60" s="1" t="s">
        <v>21</v>
      </c>
      <c r="E60" s="1">
        <v>118910.48</v>
      </c>
      <c r="F60" s="1">
        <v>4022</v>
      </c>
      <c r="G60" s="1">
        <v>0.13700000000000001</v>
      </c>
      <c r="H60" s="1">
        <v>11</v>
      </c>
      <c r="I60" s="1">
        <v>87.1</v>
      </c>
      <c r="J60" s="1">
        <v>0.2</v>
      </c>
      <c r="K60" s="1">
        <v>0</v>
      </c>
      <c r="L60" s="1">
        <v>3.1</v>
      </c>
      <c r="M60" s="1">
        <v>617291.15</v>
      </c>
      <c r="N60" s="1">
        <v>117782</v>
      </c>
    </row>
    <row r="61" spans="1:14">
      <c r="A61" s="1" t="s">
        <v>36</v>
      </c>
      <c r="B61" s="3">
        <v>45748</v>
      </c>
      <c r="C61" s="1" t="s">
        <v>15</v>
      </c>
      <c r="D61" s="1" t="s">
        <v>21</v>
      </c>
      <c r="E61" s="1">
        <v>52952.12</v>
      </c>
      <c r="F61" s="1">
        <v>4377</v>
      </c>
      <c r="G61" s="1">
        <v>9.1999999999999998E-2</v>
      </c>
      <c r="H61" s="1">
        <v>14</v>
      </c>
      <c r="I61" s="1">
        <v>88.6</v>
      </c>
      <c r="J61" s="1">
        <v>13.59</v>
      </c>
      <c r="K61" s="1">
        <v>0</v>
      </c>
      <c r="L61" s="1">
        <v>3.1</v>
      </c>
      <c r="M61" s="1">
        <v>553756.43000000005</v>
      </c>
      <c r="N61" s="1">
        <v>86166.77</v>
      </c>
    </row>
    <row r="62" spans="1:14">
      <c r="A62" s="1" t="s">
        <v>37</v>
      </c>
      <c r="B62" s="3">
        <v>45658</v>
      </c>
      <c r="C62" s="1" t="s">
        <v>24</v>
      </c>
      <c r="D62" s="1" t="s">
        <v>18</v>
      </c>
      <c r="E62" s="1">
        <v>74907.98</v>
      </c>
      <c r="F62" s="1">
        <v>5306</v>
      </c>
      <c r="G62" s="1">
        <v>6.2E-2</v>
      </c>
      <c r="H62" s="1">
        <v>16</v>
      </c>
      <c r="I62" s="1">
        <v>95.6</v>
      </c>
      <c r="J62" s="1">
        <v>1.02</v>
      </c>
      <c r="K62" s="1">
        <v>0</v>
      </c>
      <c r="L62" s="1">
        <v>3.7</v>
      </c>
      <c r="M62" s="1">
        <v>749559.71</v>
      </c>
      <c r="N62" s="1">
        <v>144522.53</v>
      </c>
    </row>
    <row r="63" spans="1:14">
      <c r="A63" s="1" t="s">
        <v>37</v>
      </c>
      <c r="B63" s="3">
        <v>45689</v>
      </c>
      <c r="C63" s="1" t="s">
        <v>24</v>
      </c>
      <c r="D63" s="1" t="s">
        <v>18</v>
      </c>
      <c r="E63" s="1">
        <v>37284.660000000003</v>
      </c>
      <c r="F63" s="1">
        <v>3928</v>
      </c>
      <c r="G63" s="1">
        <v>7.3999999999999996E-2</v>
      </c>
      <c r="H63" s="1">
        <v>12</v>
      </c>
      <c r="I63" s="1">
        <v>86.5</v>
      </c>
      <c r="J63" s="1">
        <v>1.64</v>
      </c>
      <c r="K63" s="1">
        <v>0</v>
      </c>
      <c r="L63" s="1">
        <v>3.8</v>
      </c>
      <c r="M63" s="1">
        <v>615966.48</v>
      </c>
      <c r="N63" s="1">
        <v>91509.38</v>
      </c>
    </row>
    <row r="64" spans="1:14">
      <c r="A64" s="1" t="s">
        <v>37</v>
      </c>
      <c r="B64" s="3">
        <v>45717</v>
      </c>
      <c r="C64" s="1" t="s">
        <v>24</v>
      </c>
      <c r="D64" s="1" t="s">
        <v>18</v>
      </c>
      <c r="E64" s="1">
        <v>50343.19</v>
      </c>
      <c r="F64" s="1">
        <v>3845</v>
      </c>
      <c r="G64" s="1">
        <v>0.113</v>
      </c>
      <c r="H64" s="1">
        <v>9</v>
      </c>
      <c r="I64" s="1">
        <v>88.7</v>
      </c>
      <c r="J64" s="1">
        <v>5.15</v>
      </c>
      <c r="K64" s="1">
        <v>0</v>
      </c>
      <c r="L64" s="1">
        <v>3.3</v>
      </c>
      <c r="M64" s="1">
        <v>572011.19999999995</v>
      </c>
      <c r="N64" s="1">
        <v>101409.68</v>
      </c>
    </row>
    <row r="65" spans="1:14">
      <c r="A65" s="1" t="s">
        <v>37</v>
      </c>
      <c r="B65" s="3">
        <v>45748</v>
      </c>
      <c r="C65" s="1" t="s">
        <v>24</v>
      </c>
      <c r="D65" s="1" t="s">
        <v>18</v>
      </c>
      <c r="E65" s="1">
        <v>74954.47</v>
      </c>
      <c r="F65" s="1">
        <v>6620</v>
      </c>
      <c r="G65" s="1">
        <v>5.3999999999999999E-2</v>
      </c>
      <c r="H65" s="1">
        <v>17</v>
      </c>
      <c r="I65" s="1">
        <v>91.1</v>
      </c>
      <c r="J65" s="1">
        <v>1.1100000000000001</v>
      </c>
      <c r="K65" s="1">
        <v>0</v>
      </c>
      <c r="L65" s="1">
        <v>3.5</v>
      </c>
      <c r="M65" s="1">
        <v>761860.19</v>
      </c>
      <c r="N65" s="1">
        <v>133279.38</v>
      </c>
    </row>
    <row r="66" spans="1:14">
      <c r="A66" s="1" t="s">
        <v>38</v>
      </c>
      <c r="B66" s="3">
        <v>45658</v>
      </c>
      <c r="C66" s="1" t="s">
        <v>27</v>
      </c>
      <c r="D66" s="1" t="s">
        <v>18</v>
      </c>
      <c r="E66" s="1">
        <v>70040.31</v>
      </c>
      <c r="F66" s="1">
        <v>9175</v>
      </c>
      <c r="G66" s="1">
        <v>0.107</v>
      </c>
      <c r="H66" s="1">
        <v>23</v>
      </c>
      <c r="I66" s="1">
        <v>95.1</v>
      </c>
      <c r="J66" s="1">
        <v>6.08</v>
      </c>
      <c r="K66" s="1">
        <v>1</v>
      </c>
      <c r="L66" s="1">
        <v>3.4</v>
      </c>
      <c r="M66" s="1">
        <v>784502.68</v>
      </c>
      <c r="N66" s="1">
        <v>129519.72</v>
      </c>
    </row>
    <row r="67" spans="1:14">
      <c r="A67" s="1" t="s">
        <v>38</v>
      </c>
      <c r="B67" s="3">
        <v>45689</v>
      </c>
      <c r="C67" s="1" t="s">
        <v>27</v>
      </c>
      <c r="D67" s="1" t="s">
        <v>18</v>
      </c>
      <c r="E67" s="1">
        <v>51148.69</v>
      </c>
      <c r="F67" s="1">
        <v>7940</v>
      </c>
      <c r="G67" s="1">
        <v>0.156</v>
      </c>
      <c r="H67" s="1">
        <v>18</v>
      </c>
      <c r="I67" s="1">
        <v>93.3</v>
      </c>
      <c r="J67" s="1">
        <v>10.91</v>
      </c>
      <c r="K67" s="1">
        <v>0</v>
      </c>
      <c r="L67" s="1">
        <v>3.6</v>
      </c>
      <c r="M67" s="1">
        <v>717141.55</v>
      </c>
      <c r="N67" s="1">
        <v>134013.60999999999</v>
      </c>
    </row>
    <row r="68" spans="1:14">
      <c r="A68" s="1" t="s">
        <v>38</v>
      </c>
      <c r="B68" s="3">
        <v>45717</v>
      </c>
      <c r="C68" s="1" t="s">
        <v>27</v>
      </c>
      <c r="D68" s="1" t="s">
        <v>18</v>
      </c>
      <c r="E68" s="1">
        <v>79346.100000000006</v>
      </c>
      <c r="F68" s="1">
        <v>9628</v>
      </c>
      <c r="G68" s="1">
        <v>0.10199999999999999</v>
      </c>
      <c r="H68" s="1">
        <v>20</v>
      </c>
      <c r="I68" s="1">
        <v>99</v>
      </c>
      <c r="J68" s="1">
        <v>19.010000000000002</v>
      </c>
      <c r="K68" s="1">
        <v>1</v>
      </c>
      <c r="L68" s="1">
        <v>3.2</v>
      </c>
      <c r="M68" s="1">
        <v>685379.08</v>
      </c>
      <c r="N68" s="1">
        <v>106898.82</v>
      </c>
    </row>
    <row r="69" spans="1:14">
      <c r="A69" s="1" t="s">
        <v>38</v>
      </c>
      <c r="B69" s="3">
        <v>45748</v>
      </c>
      <c r="C69" s="1" t="s">
        <v>27</v>
      </c>
      <c r="D69" s="1" t="s">
        <v>18</v>
      </c>
      <c r="E69" s="1">
        <v>42018.400000000001</v>
      </c>
      <c r="F69" s="1">
        <v>8296</v>
      </c>
      <c r="G69" s="1">
        <v>0.115</v>
      </c>
      <c r="H69" s="1">
        <v>17</v>
      </c>
      <c r="I69" s="1">
        <v>91.8</v>
      </c>
      <c r="J69" s="1">
        <v>0.77</v>
      </c>
      <c r="K69" s="1">
        <v>0</v>
      </c>
      <c r="L69" s="1">
        <v>3.4</v>
      </c>
      <c r="M69" s="1">
        <v>740496.65</v>
      </c>
      <c r="N69" s="1">
        <v>128020.9</v>
      </c>
    </row>
    <row r="70" spans="1:14">
      <c r="A70" s="1" t="s">
        <v>39</v>
      </c>
      <c r="B70" s="3">
        <v>45658</v>
      </c>
      <c r="C70" s="1" t="s">
        <v>15</v>
      </c>
      <c r="D70" s="1" t="s">
        <v>18</v>
      </c>
      <c r="E70" s="1">
        <v>70937.240000000005</v>
      </c>
      <c r="F70" s="1">
        <v>3595</v>
      </c>
      <c r="G70" s="1">
        <v>0.14099999999999999</v>
      </c>
      <c r="H70" s="1">
        <v>11</v>
      </c>
      <c r="I70" s="1">
        <v>88.9</v>
      </c>
      <c r="J70" s="1">
        <v>2.83</v>
      </c>
      <c r="K70" s="1">
        <v>1</v>
      </c>
      <c r="L70" s="1">
        <v>3.3</v>
      </c>
      <c r="M70" s="1">
        <v>661927.14</v>
      </c>
      <c r="N70" s="1">
        <v>79218.570000000007</v>
      </c>
    </row>
    <row r="71" spans="1:14">
      <c r="A71" s="1" t="s">
        <v>39</v>
      </c>
      <c r="B71" s="3">
        <v>45689</v>
      </c>
      <c r="C71" s="1" t="s">
        <v>15</v>
      </c>
      <c r="D71" s="1" t="s">
        <v>18</v>
      </c>
      <c r="E71" s="1">
        <v>36813.449999999997</v>
      </c>
      <c r="F71" s="1">
        <v>2834</v>
      </c>
      <c r="G71" s="1">
        <v>0.191</v>
      </c>
      <c r="H71" s="1">
        <v>11</v>
      </c>
      <c r="I71" s="1">
        <v>81.8</v>
      </c>
      <c r="J71" s="1">
        <v>2.33</v>
      </c>
      <c r="K71" s="1">
        <v>0</v>
      </c>
      <c r="L71" s="1">
        <v>3.3</v>
      </c>
      <c r="M71" s="1">
        <v>479050.5</v>
      </c>
      <c r="N71" s="1">
        <v>53651.11</v>
      </c>
    </row>
    <row r="72" spans="1:14">
      <c r="A72" s="1" t="s">
        <v>39</v>
      </c>
      <c r="B72" s="3">
        <v>45717</v>
      </c>
      <c r="C72" s="1" t="s">
        <v>15</v>
      </c>
      <c r="D72" s="1" t="s">
        <v>18</v>
      </c>
      <c r="E72" s="1">
        <v>60571.82</v>
      </c>
      <c r="F72" s="1">
        <v>3193</v>
      </c>
      <c r="G72" s="1">
        <v>0.19700000000000001</v>
      </c>
      <c r="H72" s="1">
        <v>7</v>
      </c>
      <c r="I72" s="1">
        <v>99</v>
      </c>
      <c r="J72" s="1">
        <v>1.43</v>
      </c>
      <c r="K72" s="1">
        <v>0</v>
      </c>
      <c r="L72" s="1">
        <v>3.2</v>
      </c>
      <c r="M72" s="1">
        <v>605023.87</v>
      </c>
      <c r="N72" s="1">
        <v>98545.81</v>
      </c>
    </row>
    <row r="73" spans="1:14">
      <c r="A73" s="1" t="s">
        <v>39</v>
      </c>
      <c r="B73" s="3">
        <v>45748</v>
      </c>
      <c r="C73" s="1" t="s">
        <v>15</v>
      </c>
      <c r="D73" s="1" t="s">
        <v>18</v>
      </c>
      <c r="E73" s="1">
        <v>55081.16</v>
      </c>
      <c r="F73" s="1">
        <v>5485</v>
      </c>
      <c r="G73" s="1">
        <v>3.5999999999999997E-2</v>
      </c>
      <c r="H73" s="1">
        <v>12</v>
      </c>
      <c r="I73" s="1">
        <v>88</v>
      </c>
      <c r="J73" s="1"/>
      <c r="K73" s="1">
        <v>0</v>
      </c>
      <c r="L73" s="1">
        <v>3.5</v>
      </c>
      <c r="M73" s="1">
        <v>674774.09</v>
      </c>
      <c r="N73" s="1">
        <v>141917.59</v>
      </c>
    </row>
    <row r="74" spans="1:14">
      <c r="A74" s="1" t="s">
        <v>40</v>
      </c>
      <c r="B74" s="3">
        <v>45658</v>
      </c>
      <c r="C74" s="1" t="s">
        <v>15</v>
      </c>
      <c r="D74" s="1" t="s">
        <v>16</v>
      </c>
      <c r="E74" s="1">
        <v>46201.46</v>
      </c>
      <c r="F74" s="1">
        <v>5918</v>
      </c>
      <c r="G74" s="1">
        <v>0.27700000000000002</v>
      </c>
      <c r="H74" s="1">
        <v>13</v>
      </c>
      <c r="I74" s="1">
        <v>78.8</v>
      </c>
      <c r="J74" s="1">
        <v>4.91</v>
      </c>
      <c r="K74" s="1">
        <v>0</v>
      </c>
      <c r="L74" s="1">
        <v>4.5</v>
      </c>
      <c r="M74" s="1">
        <v>616069.41</v>
      </c>
      <c r="N74" s="1">
        <v>54453.99</v>
      </c>
    </row>
    <row r="75" spans="1:14">
      <c r="A75" s="1" t="s">
        <v>40</v>
      </c>
      <c r="B75" s="3">
        <v>45689</v>
      </c>
      <c r="C75" s="1" t="s">
        <v>15</v>
      </c>
      <c r="D75" s="1" t="s">
        <v>16</v>
      </c>
      <c r="E75" s="1">
        <v>53762.92</v>
      </c>
      <c r="F75" s="1">
        <v>6821</v>
      </c>
      <c r="G75" s="1">
        <v>6.6000000000000003E-2</v>
      </c>
      <c r="H75" s="1">
        <v>19</v>
      </c>
      <c r="I75" s="1">
        <v>94.6</v>
      </c>
      <c r="J75" s="1">
        <v>7.03</v>
      </c>
      <c r="K75" s="1">
        <v>0</v>
      </c>
      <c r="L75" s="1">
        <v>4.4000000000000004</v>
      </c>
      <c r="M75" s="1">
        <v>630829.93999999994</v>
      </c>
      <c r="N75" s="1">
        <v>117090.02</v>
      </c>
    </row>
    <row r="76" spans="1:14">
      <c r="A76" s="1" t="s">
        <v>40</v>
      </c>
      <c r="B76" s="3">
        <v>45717</v>
      </c>
      <c r="C76" s="1" t="s">
        <v>15</v>
      </c>
      <c r="D76" s="1" t="s">
        <v>16</v>
      </c>
      <c r="E76" s="1">
        <v>70144.78</v>
      </c>
      <c r="F76" s="1">
        <v>6806</v>
      </c>
      <c r="G76" s="1">
        <v>0.17799999999999999</v>
      </c>
      <c r="H76" s="1">
        <v>20</v>
      </c>
      <c r="I76" s="1">
        <v>93.1</v>
      </c>
      <c r="J76" s="1">
        <v>0.28000000000000003</v>
      </c>
      <c r="K76" s="1">
        <v>1</v>
      </c>
      <c r="L76" s="1">
        <v>4.3</v>
      </c>
      <c r="M76" s="1">
        <v>788087.68</v>
      </c>
      <c r="N76" s="1">
        <v>116803.42</v>
      </c>
    </row>
    <row r="77" spans="1:14">
      <c r="A77" s="1" t="s">
        <v>40</v>
      </c>
      <c r="B77" s="3">
        <v>45748</v>
      </c>
      <c r="C77" s="1" t="s">
        <v>15</v>
      </c>
      <c r="D77" s="1" t="s">
        <v>16</v>
      </c>
      <c r="E77" s="1">
        <v>58749.63</v>
      </c>
      <c r="F77" s="1">
        <v>8252</v>
      </c>
      <c r="G77" s="1">
        <v>0.20300000000000001</v>
      </c>
      <c r="H77" s="1">
        <v>20</v>
      </c>
      <c r="I77" s="1">
        <v>85.2</v>
      </c>
      <c r="J77" s="1">
        <v>3.61</v>
      </c>
      <c r="K77" s="1">
        <v>0</v>
      </c>
      <c r="L77" s="1">
        <v>4.5</v>
      </c>
      <c r="M77" s="1">
        <v>680840.36</v>
      </c>
      <c r="N77" s="1">
        <v>68007.679999999993</v>
      </c>
    </row>
    <row r="78" spans="1:14">
      <c r="A78" s="1" t="s">
        <v>41</v>
      </c>
      <c r="B78" s="3">
        <v>45658</v>
      </c>
      <c r="C78" s="1" t="s">
        <v>24</v>
      </c>
      <c r="D78" s="1" t="s">
        <v>18</v>
      </c>
      <c r="E78" s="1">
        <v>56973.18</v>
      </c>
      <c r="F78" s="1">
        <v>6662</v>
      </c>
      <c r="G78" s="1">
        <v>0.1</v>
      </c>
      <c r="H78" s="1">
        <v>15</v>
      </c>
      <c r="I78" s="1">
        <v>77.7</v>
      </c>
      <c r="J78" s="1">
        <v>7.52</v>
      </c>
      <c r="K78" s="1">
        <v>1</v>
      </c>
      <c r="L78" s="1">
        <v>3.2</v>
      </c>
      <c r="M78" s="1">
        <v>643657.47</v>
      </c>
      <c r="N78" s="1">
        <v>87022.45</v>
      </c>
    </row>
    <row r="79" spans="1:14">
      <c r="A79" s="1" t="s">
        <v>41</v>
      </c>
      <c r="B79" s="3">
        <v>45689</v>
      </c>
      <c r="C79" s="1" t="s">
        <v>24</v>
      </c>
      <c r="D79" s="1" t="s">
        <v>18</v>
      </c>
      <c r="E79" s="1">
        <v>54872.82</v>
      </c>
      <c r="F79" s="1">
        <v>5962</v>
      </c>
      <c r="G79" s="1">
        <v>6.4000000000000001E-2</v>
      </c>
      <c r="H79" s="1">
        <v>12</v>
      </c>
      <c r="I79" s="1">
        <v>85.4</v>
      </c>
      <c r="J79" s="1">
        <v>2.58</v>
      </c>
      <c r="K79" s="1">
        <v>0</v>
      </c>
      <c r="L79" s="1">
        <v>2.9</v>
      </c>
      <c r="M79" s="1">
        <v>691112.6</v>
      </c>
      <c r="N79" s="1">
        <v>109212.83</v>
      </c>
    </row>
    <row r="80" spans="1:14">
      <c r="A80" s="1" t="s">
        <v>41</v>
      </c>
      <c r="B80" s="3">
        <v>45717</v>
      </c>
      <c r="C80" s="1" t="s">
        <v>24</v>
      </c>
      <c r="D80" s="1" t="s">
        <v>18</v>
      </c>
      <c r="E80" s="1">
        <v>80562.81</v>
      </c>
      <c r="F80" s="1">
        <v>7470</v>
      </c>
      <c r="G80" s="1">
        <v>0.17199999999999999</v>
      </c>
      <c r="H80" s="1">
        <v>16</v>
      </c>
      <c r="I80" s="1">
        <v>83.5</v>
      </c>
      <c r="J80" s="1">
        <v>2.29</v>
      </c>
      <c r="K80" s="1">
        <v>0</v>
      </c>
      <c r="L80" s="1">
        <v>3.3</v>
      </c>
      <c r="M80" s="1">
        <v>776922.17</v>
      </c>
      <c r="N80" s="1">
        <v>150701.93</v>
      </c>
    </row>
    <row r="81" spans="1:14">
      <c r="A81" s="1" t="s">
        <v>41</v>
      </c>
      <c r="B81" s="3">
        <v>45748</v>
      </c>
      <c r="C81" s="1" t="s">
        <v>24</v>
      </c>
      <c r="D81" s="1" t="s">
        <v>18</v>
      </c>
      <c r="E81" s="1">
        <v>77999.899999999994</v>
      </c>
      <c r="F81" s="1">
        <v>5974</v>
      </c>
      <c r="G81" s="1">
        <v>0.252</v>
      </c>
      <c r="H81" s="1">
        <v>14</v>
      </c>
      <c r="I81" s="1">
        <v>81.3</v>
      </c>
      <c r="J81" s="1">
        <v>2.39</v>
      </c>
      <c r="K81" s="1">
        <v>0</v>
      </c>
      <c r="L81" s="1">
        <v>3.2</v>
      </c>
      <c r="M81" s="1">
        <v>636561.34</v>
      </c>
      <c r="N81" s="1">
        <v>93861.06</v>
      </c>
    </row>
    <row r="82" spans="1:14">
      <c r="A82" s="1" t="s">
        <v>42</v>
      </c>
      <c r="B82" s="3">
        <v>45658</v>
      </c>
      <c r="C82" s="1" t="s">
        <v>27</v>
      </c>
      <c r="D82" s="1" t="s">
        <v>28</v>
      </c>
      <c r="E82" s="1">
        <v>60881.01</v>
      </c>
      <c r="F82" s="1">
        <v>5410</v>
      </c>
      <c r="G82" s="1">
        <v>0.17899999999999999</v>
      </c>
      <c r="H82" s="1">
        <v>15</v>
      </c>
      <c r="I82" s="1">
        <v>83.9</v>
      </c>
      <c r="J82" s="1">
        <v>5.24</v>
      </c>
      <c r="K82" s="1">
        <v>0</v>
      </c>
      <c r="L82" s="1">
        <v>4.5999999999999996</v>
      </c>
      <c r="M82" s="1">
        <v>621369.57999999996</v>
      </c>
      <c r="N82" s="1">
        <v>85493.64</v>
      </c>
    </row>
    <row r="83" spans="1:14">
      <c r="A83" s="1" t="s">
        <v>42</v>
      </c>
      <c r="B83" s="3">
        <v>45689</v>
      </c>
      <c r="C83" s="1" t="s">
        <v>27</v>
      </c>
      <c r="D83" s="1" t="s">
        <v>28</v>
      </c>
      <c r="E83" s="1">
        <v>60628.38</v>
      </c>
      <c r="F83" s="1">
        <v>4451</v>
      </c>
      <c r="G83" s="1">
        <v>9.5000000000000001E-2</v>
      </c>
      <c r="H83" s="1">
        <v>10</v>
      </c>
      <c r="I83" s="1">
        <v>89.6</v>
      </c>
      <c r="J83" s="1">
        <v>3.17</v>
      </c>
      <c r="K83" s="1">
        <v>0</v>
      </c>
      <c r="L83" s="1">
        <v>4.5999999999999996</v>
      </c>
      <c r="M83" s="1">
        <v>682208.01</v>
      </c>
      <c r="N83" s="1">
        <v>110318.84</v>
      </c>
    </row>
    <row r="84" spans="1:14">
      <c r="A84" s="1" t="s">
        <v>42</v>
      </c>
      <c r="B84" s="3">
        <v>45717</v>
      </c>
      <c r="C84" s="1" t="s">
        <v>27</v>
      </c>
      <c r="D84" s="1" t="s">
        <v>28</v>
      </c>
      <c r="E84" s="1">
        <v>72731.14</v>
      </c>
      <c r="F84" s="1">
        <v>4644</v>
      </c>
      <c r="G84" s="1">
        <v>8.4000000000000005E-2</v>
      </c>
      <c r="H84" s="1">
        <v>15</v>
      </c>
      <c r="I84" s="1">
        <v>87.1</v>
      </c>
      <c r="J84" s="1">
        <v>2.66</v>
      </c>
      <c r="K84" s="1">
        <v>0</v>
      </c>
      <c r="L84" s="1">
        <v>4.5999999999999996</v>
      </c>
      <c r="M84" s="1">
        <v>727241.86</v>
      </c>
      <c r="N84" s="1">
        <v>155810.29999999999</v>
      </c>
    </row>
    <row r="85" spans="1:14">
      <c r="A85" s="1" t="s">
        <v>42</v>
      </c>
      <c r="B85" s="3">
        <v>45748</v>
      </c>
      <c r="C85" s="1" t="s">
        <v>27</v>
      </c>
      <c r="D85" s="1" t="s">
        <v>28</v>
      </c>
      <c r="E85" s="1">
        <v>36475.71</v>
      </c>
      <c r="F85" s="1">
        <v>3559</v>
      </c>
      <c r="G85" s="1">
        <v>0.03</v>
      </c>
      <c r="H85" s="1">
        <v>8</v>
      </c>
      <c r="I85" s="1">
        <v>83.6</v>
      </c>
      <c r="J85" s="1">
        <v>1.41</v>
      </c>
      <c r="K85" s="1">
        <v>0</v>
      </c>
      <c r="L85" s="1">
        <v>4.2</v>
      </c>
      <c r="M85" s="1">
        <v>569100.78</v>
      </c>
      <c r="N85" s="1">
        <v>104808.78</v>
      </c>
    </row>
    <row r="86" spans="1:14">
      <c r="A86" s="1" t="s">
        <v>43</v>
      </c>
      <c r="B86" s="3">
        <v>45658</v>
      </c>
      <c r="C86" s="1" t="s">
        <v>27</v>
      </c>
      <c r="D86" s="1" t="s">
        <v>18</v>
      </c>
      <c r="E86" s="1">
        <v>55388.11</v>
      </c>
      <c r="F86" s="1">
        <v>3091</v>
      </c>
      <c r="G86" s="1">
        <v>0.108</v>
      </c>
      <c r="H86" s="1">
        <v>7</v>
      </c>
      <c r="I86" s="1">
        <v>85.4</v>
      </c>
      <c r="J86" s="1">
        <v>7.34</v>
      </c>
      <c r="K86" s="1">
        <v>0</v>
      </c>
      <c r="L86" s="1">
        <v>4.9000000000000004</v>
      </c>
      <c r="M86" s="1">
        <v>574436.29</v>
      </c>
      <c r="N86" s="1">
        <v>80271.990000000005</v>
      </c>
    </row>
    <row r="87" spans="1:14">
      <c r="A87" s="1" t="s">
        <v>43</v>
      </c>
      <c r="B87" s="3">
        <v>45689</v>
      </c>
      <c r="C87" s="1" t="s">
        <v>27</v>
      </c>
      <c r="D87" s="1" t="s">
        <v>18</v>
      </c>
      <c r="E87" s="1">
        <v>88443.77</v>
      </c>
      <c r="F87" s="1">
        <v>4004</v>
      </c>
      <c r="G87" s="1">
        <v>0.20599999999999999</v>
      </c>
      <c r="H87" s="1">
        <v>11</v>
      </c>
      <c r="I87" s="1">
        <v>91.9</v>
      </c>
      <c r="J87" s="1">
        <v>5.95</v>
      </c>
      <c r="K87" s="1">
        <v>0</v>
      </c>
      <c r="L87" s="1"/>
      <c r="M87" s="1">
        <v>611766.72</v>
      </c>
      <c r="N87" s="1">
        <v>88275.61</v>
      </c>
    </row>
    <row r="88" spans="1:14">
      <c r="A88" s="1" t="s">
        <v>43</v>
      </c>
      <c r="B88" s="3">
        <v>45717</v>
      </c>
      <c r="C88" s="1" t="s">
        <v>27</v>
      </c>
      <c r="D88" s="1" t="s">
        <v>18</v>
      </c>
      <c r="E88" s="1">
        <v>78231.91</v>
      </c>
      <c r="F88" s="1">
        <v>3788</v>
      </c>
      <c r="G88" s="1">
        <v>5.8999999999999997E-2</v>
      </c>
      <c r="H88" s="1">
        <v>11</v>
      </c>
      <c r="I88" s="1">
        <v>88.5</v>
      </c>
      <c r="J88" s="1">
        <v>15.51</v>
      </c>
      <c r="K88" s="1">
        <v>0</v>
      </c>
      <c r="L88" s="1">
        <v>4.3</v>
      </c>
      <c r="M88" s="1">
        <v>614596.31999999995</v>
      </c>
      <c r="N88" s="1">
        <v>131199.41</v>
      </c>
    </row>
    <row r="89" spans="1:14">
      <c r="A89" s="1" t="s">
        <v>43</v>
      </c>
      <c r="B89" s="3">
        <v>45748</v>
      </c>
      <c r="C89" s="1" t="s">
        <v>27</v>
      </c>
      <c r="D89" s="1" t="s">
        <v>18</v>
      </c>
      <c r="E89" s="1">
        <v>18996.32</v>
      </c>
      <c r="F89" s="1">
        <v>1260</v>
      </c>
      <c r="G89" s="1">
        <v>0.14499999999999999</v>
      </c>
      <c r="H89" s="1">
        <v>9</v>
      </c>
      <c r="I89" s="1">
        <v>86.4</v>
      </c>
      <c r="J89" s="1">
        <v>4.3099999999999996</v>
      </c>
      <c r="K89" s="1">
        <v>0</v>
      </c>
      <c r="L89" s="1">
        <v>4.5999999999999996</v>
      </c>
      <c r="M89" s="1">
        <v>450711.92</v>
      </c>
      <c r="N89" s="1">
        <v>90043.76</v>
      </c>
    </row>
    <row r="90" spans="1:14">
      <c r="A90" s="1" t="s">
        <v>44</v>
      </c>
      <c r="B90" s="3">
        <v>45658</v>
      </c>
      <c r="C90" s="1" t="s">
        <v>24</v>
      </c>
      <c r="D90" s="1" t="s">
        <v>28</v>
      </c>
      <c r="E90" s="1">
        <v>50517.94</v>
      </c>
      <c r="F90" s="1">
        <v>7024</v>
      </c>
      <c r="G90" s="1">
        <v>2.9000000000000001E-2</v>
      </c>
      <c r="H90" s="1">
        <v>18</v>
      </c>
      <c r="I90" s="1">
        <v>79.2</v>
      </c>
      <c r="J90" s="1">
        <v>6.61</v>
      </c>
      <c r="K90" s="1">
        <v>1</v>
      </c>
      <c r="L90" s="1">
        <v>4.0999999999999996</v>
      </c>
      <c r="M90" s="1">
        <v>711213.46</v>
      </c>
      <c r="N90" s="1">
        <v>105863.26</v>
      </c>
    </row>
    <row r="91" spans="1:14">
      <c r="A91" s="1" t="s">
        <v>44</v>
      </c>
      <c r="B91" s="3">
        <v>45689</v>
      </c>
      <c r="C91" s="1" t="s">
        <v>24</v>
      </c>
      <c r="D91" s="1" t="s">
        <v>28</v>
      </c>
      <c r="E91" s="1">
        <v>141540.29</v>
      </c>
      <c r="F91" s="1">
        <v>5400</v>
      </c>
      <c r="G91" s="1">
        <v>1.2999999999999999E-2</v>
      </c>
      <c r="H91" s="1">
        <v>12</v>
      </c>
      <c r="I91" s="1">
        <v>87</v>
      </c>
      <c r="J91" s="1">
        <v>4.26</v>
      </c>
      <c r="K91" s="1">
        <v>0</v>
      </c>
      <c r="L91" s="1">
        <v>4.5</v>
      </c>
      <c r="M91" s="1">
        <v>627171.9</v>
      </c>
      <c r="N91" s="1">
        <v>105772.75</v>
      </c>
    </row>
    <row r="92" spans="1:14">
      <c r="A92" s="1" t="s">
        <v>44</v>
      </c>
      <c r="B92" s="3">
        <v>45717</v>
      </c>
      <c r="C92" s="1" t="s">
        <v>24</v>
      </c>
      <c r="D92" s="1" t="s">
        <v>28</v>
      </c>
      <c r="E92" s="1">
        <v>82116.19</v>
      </c>
      <c r="F92" s="1">
        <v>5988</v>
      </c>
      <c r="G92" s="1">
        <v>0.04</v>
      </c>
      <c r="H92" s="1">
        <v>17</v>
      </c>
      <c r="I92" s="1">
        <v>91.8</v>
      </c>
      <c r="J92" s="1">
        <v>5.75</v>
      </c>
      <c r="K92" s="1">
        <v>0</v>
      </c>
      <c r="L92" s="1">
        <v>4.7</v>
      </c>
      <c r="M92" s="1">
        <v>739852.58</v>
      </c>
      <c r="N92" s="1">
        <v>129386.43</v>
      </c>
    </row>
    <row r="93" spans="1:14">
      <c r="A93" s="1" t="s">
        <v>44</v>
      </c>
      <c r="B93" s="3">
        <v>45748</v>
      </c>
      <c r="C93" s="1" t="s">
        <v>24</v>
      </c>
      <c r="D93" s="1" t="s">
        <v>28</v>
      </c>
      <c r="E93" s="1">
        <v>31207.51</v>
      </c>
      <c r="F93" s="1">
        <v>3701</v>
      </c>
      <c r="G93" s="1">
        <v>4.2999999999999997E-2</v>
      </c>
      <c r="H93" s="1">
        <v>11</v>
      </c>
      <c r="I93" s="1">
        <v>84.7</v>
      </c>
      <c r="J93" s="1">
        <v>0.33</v>
      </c>
      <c r="K93" s="1">
        <v>0</v>
      </c>
      <c r="L93" s="1">
        <v>4.3</v>
      </c>
      <c r="M93" s="1">
        <v>586307.22</v>
      </c>
      <c r="N93" s="1">
        <v>73927.850000000006</v>
      </c>
    </row>
    <row r="94" spans="1:14">
      <c r="A94" s="1" t="s">
        <v>45</v>
      </c>
      <c r="B94" s="3">
        <v>45658</v>
      </c>
      <c r="C94" s="1" t="s">
        <v>27</v>
      </c>
      <c r="D94" s="1" t="s">
        <v>16</v>
      </c>
      <c r="E94" s="1">
        <v>38966.589999999997</v>
      </c>
      <c r="F94" s="1">
        <v>4509</v>
      </c>
      <c r="G94" s="1">
        <v>0.19400000000000001</v>
      </c>
      <c r="H94" s="1">
        <v>14</v>
      </c>
      <c r="I94" s="1">
        <v>91.1</v>
      </c>
      <c r="J94" s="1">
        <v>2.92</v>
      </c>
      <c r="K94" s="1">
        <v>0</v>
      </c>
      <c r="L94" s="1">
        <v>4.5999999999999996</v>
      </c>
      <c r="M94" s="1">
        <v>585937.48</v>
      </c>
      <c r="N94" s="1">
        <v>82624.2</v>
      </c>
    </row>
    <row r="95" spans="1:14">
      <c r="A95" s="1" t="s">
        <v>45</v>
      </c>
      <c r="B95" s="3">
        <v>45689</v>
      </c>
      <c r="C95" s="1" t="s">
        <v>27</v>
      </c>
      <c r="D95" s="1" t="s">
        <v>16</v>
      </c>
      <c r="E95" s="1">
        <v>67439.3</v>
      </c>
      <c r="F95" s="1">
        <v>6477</v>
      </c>
      <c r="G95" s="1">
        <v>0</v>
      </c>
      <c r="H95" s="1">
        <v>16</v>
      </c>
      <c r="I95" s="1">
        <v>90.9</v>
      </c>
      <c r="J95" s="1">
        <v>1.64</v>
      </c>
      <c r="K95" s="1">
        <v>0</v>
      </c>
      <c r="L95" s="1">
        <v>4.5</v>
      </c>
      <c r="M95" s="1">
        <v>753473.55</v>
      </c>
      <c r="N95" s="1">
        <v>151527.22</v>
      </c>
    </row>
    <row r="96" spans="1:14">
      <c r="A96" s="1" t="s">
        <v>45</v>
      </c>
      <c r="B96" s="3">
        <v>45717</v>
      </c>
      <c r="C96" s="1" t="s">
        <v>27</v>
      </c>
      <c r="D96" s="1" t="s">
        <v>16</v>
      </c>
      <c r="E96" s="1">
        <v>86421.88</v>
      </c>
      <c r="F96" s="1">
        <v>7970</v>
      </c>
      <c r="G96" s="1">
        <v>7.2999999999999995E-2</v>
      </c>
      <c r="H96" s="1">
        <v>17</v>
      </c>
      <c r="I96" s="1">
        <v>91.3</v>
      </c>
      <c r="J96" s="1">
        <v>0.8</v>
      </c>
      <c r="K96" s="1">
        <v>0</v>
      </c>
      <c r="L96" s="1">
        <v>5</v>
      </c>
      <c r="M96" s="1">
        <v>838250.32</v>
      </c>
      <c r="N96" s="1">
        <v>122939.34</v>
      </c>
    </row>
    <row r="97" spans="1:14">
      <c r="A97" s="1" t="s">
        <v>45</v>
      </c>
      <c r="B97" s="3">
        <v>45748</v>
      </c>
      <c r="C97" s="1" t="s">
        <v>27</v>
      </c>
      <c r="D97" s="1" t="s">
        <v>16</v>
      </c>
      <c r="E97" s="1">
        <v>9534.65</v>
      </c>
      <c r="F97" s="1">
        <v>6057</v>
      </c>
      <c r="G97" s="1">
        <v>7.3999999999999996E-2</v>
      </c>
      <c r="H97" s="1">
        <v>15</v>
      </c>
      <c r="I97" s="1">
        <v>94.1</v>
      </c>
      <c r="J97" s="1">
        <v>5.79</v>
      </c>
      <c r="K97" s="1">
        <v>0</v>
      </c>
      <c r="L97" s="1">
        <v>4.5</v>
      </c>
      <c r="M97" s="1">
        <v>607898.12</v>
      </c>
      <c r="N97" s="1">
        <v>135404.85</v>
      </c>
    </row>
    <row r="98" spans="1:14">
      <c r="A98" s="1" t="s">
        <v>46</v>
      </c>
      <c r="B98" s="3">
        <v>45658</v>
      </c>
      <c r="C98" s="1" t="s">
        <v>27</v>
      </c>
      <c r="D98" s="1" t="s">
        <v>28</v>
      </c>
      <c r="E98" s="1">
        <v>61132.07</v>
      </c>
      <c r="F98" s="1">
        <v>6394</v>
      </c>
      <c r="G98" s="1">
        <v>0.16300000000000001</v>
      </c>
      <c r="H98" s="1">
        <v>19</v>
      </c>
      <c r="I98" s="1">
        <v>91</v>
      </c>
      <c r="J98" s="1">
        <v>19.600000000000001</v>
      </c>
      <c r="K98" s="1">
        <v>0</v>
      </c>
      <c r="L98" s="1">
        <v>4.4000000000000004</v>
      </c>
      <c r="M98" s="1">
        <v>691113.62</v>
      </c>
      <c r="N98" s="1">
        <v>135145.44</v>
      </c>
    </row>
    <row r="99" spans="1:14">
      <c r="A99" s="1" t="s">
        <v>46</v>
      </c>
      <c r="B99" s="3">
        <v>45689</v>
      </c>
      <c r="C99" s="1" t="s">
        <v>27</v>
      </c>
      <c r="D99" s="1" t="s">
        <v>28</v>
      </c>
      <c r="E99" s="1">
        <v>78839.39</v>
      </c>
      <c r="F99" s="1">
        <v>5150</v>
      </c>
      <c r="G99" s="1">
        <v>0.17100000000000001</v>
      </c>
      <c r="H99" s="1">
        <v>13</v>
      </c>
      <c r="I99" s="1">
        <v>85.8</v>
      </c>
      <c r="J99" s="1">
        <v>7.57</v>
      </c>
      <c r="K99" s="1">
        <v>0</v>
      </c>
      <c r="L99" s="1">
        <v>4.3</v>
      </c>
      <c r="M99" s="1">
        <v>735509.4</v>
      </c>
      <c r="N99" s="1">
        <v>83895.96</v>
      </c>
    </row>
    <row r="100" spans="1:14">
      <c r="A100" s="1" t="s">
        <v>46</v>
      </c>
      <c r="B100" s="3">
        <v>45717</v>
      </c>
      <c r="C100" s="1" t="s">
        <v>27</v>
      </c>
      <c r="D100" s="1" t="s">
        <v>28</v>
      </c>
      <c r="E100" s="1">
        <v>38752.800000000003</v>
      </c>
      <c r="F100" s="1">
        <v>4712</v>
      </c>
      <c r="G100" s="1">
        <v>7.4999999999999997E-2</v>
      </c>
      <c r="H100" s="1">
        <v>15</v>
      </c>
      <c r="I100" s="1">
        <v>89.7</v>
      </c>
      <c r="J100" s="1"/>
      <c r="K100" s="1">
        <v>0</v>
      </c>
      <c r="L100" s="1">
        <v>4.3</v>
      </c>
      <c r="M100" s="1">
        <v>605775.32999999996</v>
      </c>
      <c r="N100" s="1">
        <v>107194.6</v>
      </c>
    </row>
    <row r="101" spans="1:14">
      <c r="A101" s="1" t="s">
        <v>46</v>
      </c>
      <c r="B101" s="3">
        <v>45748</v>
      </c>
      <c r="C101" s="1" t="s">
        <v>27</v>
      </c>
      <c r="D101" s="1" t="s">
        <v>28</v>
      </c>
      <c r="E101" s="1">
        <v>55101.1</v>
      </c>
      <c r="F101" s="1">
        <v>5281</v>
      </c>
      <c r="G101" s="1">
        <v>0.189</v>
      </c>
      <c r="H101" s="1">
        <v>11</v>
      </c>
      <c r="I101" s="1">
        <v>91</v>
      </c>
      <c r="J101" s="1">
        <v>2.7</v>
      </c>
      <c r="K101" s="1">
        <v>0</v>
      </c>
      <c r="L101" s="1">
        <v>4.4000000000000004</v>
      </c>
      <c r="M101" s="1">
        <v>675177.68</v>
      </c>
      <c r="N101" s="1">
        <v>105628.68</v>
      </c>
    </row>
    <row r="102" spans="1:14">
      <c r="A102" s="1" t="s">
        <v>47</v>
      </c>
      <c r="B102" s="3">
        <v>45658</v>
      </c>
      <c r="C102" s="1" t="s">
        <v>15</v>
      </c>
      <c r="D102" s="1" t="s">
        <v>28</v>
      </c>
      <c r="E102" s="1">
        <v>53084.76</v>
      </c>
      <c r="F102" s="1">
        <v>3642</v>
      </c>
      <c r="G102" s="1">
        <v>0.15</v>
      </c>
      <c r="H102" s="1">
        <v>12</v>
      </c>
      <c r="I102" s="1">
        <v>91.4</v>
      </c>
      <c r="J102" s="1">
        <v>0.2</v>
      </c>
      <c r="K102" s="1">
        <v>0</v>
      </c>
      <c r="L102" s="1">
        <v>4.4000000000000004</v>
      </c>
      <c r="M102" s="1">
        <v>635181.35</v>
      </c>
      <c r="N102" s="1">
        <v>83341.25</v>
      </c>
    </row>
    <row r="103" spans="1:14">
      <c r="A103" s="1" t="s">
        <v>47</v>
      </c>
      <c r="B103" s="3">
        <v>45689</v>
      </c>
      <c r="C103" s="1" t="s">
        <v>15</v>
      </c>
      <c r="D103" s="1" t="s">
        <v>28</v>
      </c>
      <c r="E103" s="1">
        <v>63101.59</v>
      </c>
      <c r="F103" s="1">
        <v>4373</v>
      </c>
      <c r="G103" s="1">
        <v>0.17299999999999999</v>
      </c>
      <c r="H103" s="1">
        <v>14</v>
      </c>
      <c r="I103" s="1">
        <v>90.4</v>
      </c>
      <c r="J103" s="1">
        <v>7.87</v>
      </c>
      <c r="K103" s="1">
        <v>0</v>
      </c>
      <c r="L103" s="1">
        <v>4.7</v>
      </c>
      <c r="M103" s="1">
        <v>586626.93999999994</v>
      </c>
      <c r="N103" s="1">
        <v>86498.55</v>
      </c>
    </row>
    <row r="104" spans="1:14">
      <c r="A104" s="1" t="s">
        <v>47</v>
      </c>
      <c r="B104" s="3">
        <v>45717</v>
      </c>
      <c r="C104" s="1" t="s">
        <v>15</v>
      </c>
      <c r="D104" s="1" t="s">
        <v>28</v>
      </c>
      <c r="E104" s="1">
        <v>90084.4</v>
      </c>
      <c r="F104" s="1">
        <v>6832</v>
      </c>
      <c r="G104" s="1">
        <v>0.185</v>
      </c>
      <c r="H104" s="1">
        <v>14</v>
      </c>
      <c r="I104" s="1">
        <v>80.5</v>
      </c>
      <c r="J104" s="1">
        <v>0.77</v>
      </c>
      <c r="K104" s="1">
        <v>1</v>
      </c>
      <c r="L104" s="1">
        <v>4.4000000000000004</v>
      </c>
      <c r="M104" s="1">
        <v>740102.64</v>
      </c>
      <c r="N104" s="1">
        <v>114299.07</v>
      </c>
    </row>
    <row r="105" spans="1:14">
      <c r="A105" s="1" t="s">
        <v>47</v>
      </c>
      <c r="B105" s="3">
        <v>45748</v>
      </c>
      <c r="C105" s="1" t="s">
        <v>15</v>
      </c>
      <c r="D105" s="1" t="s">
        <v>28</v>
      </c>
      <c r="E105" s="1">
        <v>32266.639999999999</v>
      </c>
      <c r="F105" s="1">
        <v>2414</v>
      </c>
      <c r="G105" s="1">
        <v>0.08</v>
      </c>
      <c r="H105" s="1">
        <v>7</v>
      </c>
      <c r="I105" s="1">
        <v>92.1</v>
      </c>
      <c r="J105" s="1">
        <v>1.48</v>
      </c>
      <c r="K105" s="1">
        <v>0</v>
      </c>
      <c r="L105" s="1">
        <v>5</v>
      </c>
      <c r="M105" s="1">
        <v>625514.04</v>
      </c>
      <c r="N105" s="1">
        <v>120685.08</v>
      </c>
    </row>
    <row r="106" spans="1:14">
      <c r="A106" s="1" t="s">
        <v>48</v>
      </c>
      <c r="B106" s="3">
        <v>45658</v>
      </c>
      <c r="C106" s="1" t="s">
        <v>27</v>
      </c>
      <c r="D106" s="1" t="s">
        <v>18</v>
      </c>
      <c r="E106" s="1">
        <v>57919.07</v>
      </c>
      <c r="F106" s="1">
        <v>7374</v>
      </c>
      <c r="G106" s="1">
        <v>0.10299999999999999</v>
      </c>
      <c r="H106" s="1">
        <v>21</v>
      </c>
      <c r="I106" s="1">
        <v>82.3</v>
      </c>
      <c r="J106" s="1">
        <v>2.87</v>
      </c>
      <c r="K106" s="1">
        <v>0</v>
      </c>
      <c r="L106" s="1">
        <v>2.9</v>
      </c>
      <c r="M106" s="1">
        <v>727227.2</v>
      </c>
      <c r="N106" s="1">
        <v>121292.01</v>
      </c>
    </row>
    <row r="107" spans="1:14">
      <c r="A107" s="1" t="s">
        <v>48</v>
      </c>
      <c r="B107" s="3">
        <v>45689</v>
      </c>
      <c r="C107" s="1" t="s">
        <v>27</v>
      </c>
      <c r="D107" s="1" t="s">
        <v>18</v>
      </c>
      <c r="E107" s="1">
        <v>74679.350000000006</v>
      </c>
      <c r="F107" s="1">
        <v>8739</v>
      </c>
      <c r="G107" s="1">
        <v>5.6000000000000001E-2</v>
      </c>
      <c r="H107" s="1">
        <v>21</v>
      </c>
      <c r="I107" s="1">
        <v>91.8</v>
      </c>
      <c r="J107" s="1">
        <v>2.83</v>
      </c>
      <c r="K107" s="1">
        <v>0</v>
      </c>
      <c r="L107" s="1">
        <v>3</v>
      </c>
      <c r="M107" s="1">
        <v>783797.89</v>
      </c>
      <c r="N107" s="1">
        <v>157620.70000000001</v>
      </c>
    </row>
    <row r="108" spans="1:14">
      <c r="A108" s="1" t="s">
        <v>48</v>
      </c>
      <c r="B108" s="3">
        <v>45717</v>
      </c>
      <c r="C108" s="1" t="s">
        <v>27</v>
      </c>
      <c r="D108" s="1" t="s">
        <v>18</v>
      </c>
      <c r="E108" s="1">
        <v>64294.23</v>
      </c>
      <c r="F108" s="1">
        <v>6992</v>
      </c>
      <c r="G108" s="1">
        <v>0.13300000000000001</v>
      </c>
      <c r="H108" s="1">
        <v>14</v>
      </c>
      <c r="I108" s="1">
        <v>94.1</v>
      </c>
      <c r="J108" s="1">
        <v>0.25</v>
      </c>
      <c r="K108" s="1">
        <v>0</v>
      </c>
      <c r="L108" s="1">
        <v>3</v>
      </c>
      <c r="M108" s="1">
        <v>795153.84</v>
      </c>
      <c r="N108" s="1">
        <v>143194.21</v>
      </c>
    </row>
    <row r="109" spans="1:14">
      <c r="A109" s="1" t="s">
        <v>48</v>
      </c>
      <c r="B109" s="3">
        <v>45748</v>
      </c>
      <c r="C109" s="1" t="s">
        <v>27</v>
      </c>
      <c r="D109" s="1" t="s">
        <v>18</v>
      </c>
      <c r="E109" s="1">
        <v>31042.03</v>
      </c>
      <c r="F109" s="1">
        <v>7107</v>
      </c>
      <c r="G109" s="1">
        <v>5.0999999999999997E-2</v>
      </c>
      <c r="H109" s="1">
        <v>15</v>
      </c>
      <c r="I109" s="1">
        <v>87</v>
      </c>
      <c r="J109" s="1">
        <v>13.33</v>
      </c>
      <c r="K109" s="1">
        <v>0</v>
      </c>
      <c r="L109" s="1">
        <v>3.2</v>
      </c>
      <c r="M109" s="1">
        <v>665594.93999999994</v>
      </c>
      <c r="N109" s="1">
        <v>127597.34</v>
      </c>
    </row>
    <row r="110" spans="1:14">
      <c r="A110" s="1" t="s">
        <v>49</v>
      </c>
      <c r="B110" s="3">
        <v>45658</v>
      </c>
      <c r="C110" s="1" t="s">
        <v>15</v>
      </c>
      <c r="D110" s="1" t="s">
        <v>28</v>
      </c>
      <c r="E110" s="1">
        <v>75265.02</v>
      </c>
      <c r="F110" s="1">
        <v>6975</v>
      </c>
      <c r="G110" s="1">
        <v>0.157</v>
      </c>
      <c r="H110" s="1">
        <v>20</v>
      </c>
      <c r="I110" s="1">
        <v>73.8</v>
      </c>
      <c r="J110" s="1">
        <v>6.35</v>
      </c>
      <c r="K110" s="1">
        <v>1</v>
      </c>
      <c r="L110" s="1">
        <v>3.8</v>
      </c>
      <c r="M110" s="1">
        <v>709478.39</v>
      </c>
      <c r="N110" s="1">
        <v>71294.27</v>
      </c>
    </row>
    <row r="111" spans="1:14">
      <c r="A111" s="1" t="s">
        <v>49</v>
      </c>
      <c r="B111" s="3">
        <v>45689</v>
      </c>
      <c r="C111" s="1" t="s">
        <v>15</v>
      </c>
      <c r="D111" s="1" t="s">
        <v>28</v>
      </c>
      <c r="E111" s="1">
        <v>69411.7</v>
      </c>
      <c r="F111" s="1">
        <v>5493</v>
      </c>
      <c r="G111" s="1">
        <v>0.29199999999999998</v>
      </c>
      <c r="H111" s="1">
        <v>13</v>
      </c>
      <c r="I111" s="1">
        <v>86.5</v>
      </c>
      <c r="J111" s="1">
        <v>6.69</v>
      </c>
      <c r="K111" s="1">
        <v>0</v>
      </c>
      <c r="L111" s="1">
        <v>3.8</v>
      </c>
      <c r="M111" s="1">
        <v>664162.49</v>
      </c>
      <c r="N111" s="1">
        <v>98291.06</v>
      </c>
    </row>
    <row r="112" spans="1:14">
      <c r="A112" s="1" t="s">
        <v>49</v>
      </c>
      <c r="B112" s="3">
        <v>45717</v>
      </c>
      <c r="C112" s="1" t="s">
        <v>15</v>
      </c>
      <c r="D112" s="1" t="s">
        <v>28</v>
      </c>
      <c r="E112" s="1">
        <v>51056.15</v>
      </c>
      <c r="F112" s="1">
        <v>5686</v>
      </c>
      <c r="G112" s="1">
        <v>8.8999999999999996E-2</v>
      </c>
      <c r="H112" s="1">
        <v>13</v>
      </c>
      <c r="I112" s="1">
        <v>89.9</v>
      </c>
      <c r="J112" s="1">
        <v>1.28</v>
      </c>
      <c r="K112" s="1">
        <v>0</v>
      </c>
      <c r="L112" s="1">
        <v>4.2</v>
      </c>
      <c r="M112" s="1">
        <v>633494.21</v>
      </c>
      <c r="N112" s="1">
        <v>105739.47</v>
      </c>
    </row>
    <row r="113" spans="1:14">
      <c r="A113" s="1" t="s">
        <v>49</v>
      </c>
      <c r="B113" s="3">
        <v>45748</v>
      </c>
      <c r="C113" s="1" t="s">
        <v>15</v>
      </c>
      <c r="D113" s="1" t="s">
        <v>28</v>
      </c>
      <c r="E113" s="1">
        <v>52758.01</v>
      </c>
      <c r="F113" s="1">
        <v>4063</v>
      </c>
      <c r="G113" s="1">
        <v>5.7000000000000002E-2</v>
      </c>
      <c r="H113" s="1">
        <v>12</v>
      </c>
      <c r="I113" s="1">
        <v>91.7</v>
      </c>
      <c r="J113" s="1">
        <v>0.92</v>
      </c>
      <c r="K113" s="1">
        <v>0</v>
      </c>
      <c r="L113" s="1">
        <v>3.5</v>
      </c>
      <c r="M113" s="1">
        <v>713611.16</v>
      </c>
      <c r="N113" s="1">
        <v>129717.18</v>
      </c>
    </row>
    <row r="114" spans="1:14">
      <c r="A114" s="1" t="s">
        <v>50</v>
      </c>
      <c r="B114" s="3">
        <v>45658</v>
      </c>
      <c r="C114" s="1" t="s">
        <v>27</v>
      </c>
      <c r="D114" s="1" t="s">
        <v>28</v>
      </c>
      <c r="E114" s="1">
        <v>61426.04</v>
      </c>
      <c r="F114" s="1">
        <v>8966</v>
      </c>
      <c r="G114" s="1">
        <v>0.17299999999999999</v>
      </c>
      <c r="H114" s="1">
        <v>22</v>
      </c>
      <c r="I114" s="1">
        <v>76.400000000000006</v>
      </c>
      <c r="J114" s="1">
        <v>1.05</v>
      </c>
      <c r="K114" s="1">
        <v>0</v>
      </c>
      <c r="L114" s="1">
        <v>3.1</v>
      </c>
      <c r="M114" s="1">
        <v>778397.97</v>
      </c>
      <c r="N114" s="1">
        <v>120044.41</v>
      </c>
    </row>
    <row r="115" spans="1:14">
      <c r="A115" s="1" t="s">
        <v>50</v>
      </c>
      <c r="B115" s="3">
        <v>45689</v>
      </c>
      <c r="C115" s="1" t="s">
        <v>27</v>
      </c>
      <c r="D115" s="1" t="s">
        <v>28</v>
      </c>
      <c r="E115" s="1">
        <v>80176.34</v>
      </c>
      <c r="F115" s="1">
        <v>9489</v>
      </c>
      <c r="G115" s="1">
        <v>0.14199999999999999</v>
      </c>
      <c r="H115" s="1">
        <v>22</v>
      </c>
      <c r="I115" s="1">
        <v>94.3</v>
      </c>
      <c r="J115" s="1">
        <v>2.67</v>
      </c>
      <c r="K115" s="1">
        <v>0</v>
      </c>
      <c r="L115" s="1">
        <v>3.5</v>
      </c>
      <c r="M115" s="1">
        <v>873380.02</v>
      </c>
      <c r="N115" s="1">
        <v>149734.76</v>
      </c>
    </row>
    <row r="116" spans="1:14">
      <c r="A116" s="1" t="s">
        <v>50</v>
      </c>
      <c r="B116" s="3">
        <v>45717</v>
      </c>
      <c r="C116" s="1" t="s">
        <v>27</v>
      </c>
      <c r="D116" s="1" t="s">
        <v>28</v>
      </c>
      <c r="E116" s="1">
        <v>33605.18</v>
      </c>
      <c r="F116" s="1">
        <v>9225</v>
      </c>
      <c r="G116" s="1">
        <v>0.159</v>
      </c>
      <c r="H116" s="1">
        <v>23</v>
      </c>
      <c r="I116" s="1">
        <v>88.4</v>
      </c>
      <c r="J116" s="1">
        <v>5.91</v>
      </c>
      <c r="K116" s="1">
        <v>0</v>
      </c>
      <c r="L116" s="1">
        <v>2.8</v>
      </c>
      <c r="M116" s="1">
        <v>697287.9</v>
      </c>
      <c r="N116" s="1">
        <v>128208.33</v>
      </c>
    </row>
    <row r="117" spans="1:14">
      <c r="A117" s="1" t="s">
        <v>50</v>
      </c>
      <c r="B117" s="3">
        <v>45748</v>
      </c>
      <c r="C117" s="1" t="s">
        <v>27</v>
      </c>
      <c r="D117" s="1" t="s">
        <v>28</v>
      </c>
      <c r="E117" s="1">
        <v>25990.54</v>
      </c>
      <c r="F117" s="1">
        <v>9249</v>
      </c>
      <c r="G117" s="1">
        <v>0.13900000000000001</v>
      </c>
      <c r="H117" s="1">
        <v>23</v>
      </c>
      <c r="I117" s="1">
        <v>92.5</v>
      </c>
      <c r="J117" s="1">
        <v>6.37</v>
      </c>
      <c r="K117" s="1">
        <v>0</v>
      </c>
      <c r="L117" s="1">
        <v>3.3</v>
      </c>
      <c r="M117" s="1">
        <v>718074.79</v>
      </c>
      <c r="N117" s="1">
        <v>115819.87</v>
      </c>
    </row>
    <row r="118" spans="1:14">
      <c r="A118" s="1" t="s">
        <v>51</v>
      </c>
      <c r="B118" s="3">
        <v>45658</v>
      </c>
      <c r="C118" s="1" t="s">
        <v>27</v>
      </c>
      <c r="D118" s="1" t="s">
        <v>16</v>
      </c>
      <c r="E118" s="1">
        <v>43685.14</v>
      </c>
      <c r="F118" s="1">
        <v>7821</v>
      </c>
      <c r="G118" s="1">
        <v>0.19</v>
      </c>
      <c r="H118" s="1">
        <v>17</v>
      </c>
      <c r="I118" s="1">
        <v>91</v>
      </c>
      <c r="J118" s="1">
        <v>2.4900000000000002</v>
      </c>
      <c r="K118" s="1">
        <v>1</v>
      </c>
      <c r="L118" s="1">
        <v>4.7</v>
      </c>
      <c r="M118" s="1">
        <v>714942.43</v>
      </c>
      <c r="N118" s="1">
        <v>94697.71</v>
      </c>
    </row>
    <row r="119" spans="1:14">
      <c r="A119" s="1" t="s">
        <v>51</v>
      </c>
      <c r="B119" s="3">
        <v>45689</v>
      </c>
      <c r="C119" s="1" t="s">
        <v>27</v>
      </c>
      <c r="D119" s="1" t="s">
        <v>16</v>
      </c>
      <c r="E119" s="1">
        <v>57360.01</v>
      </c>
      <c r="F119" s="1">
        <v>8434</v>
      </c>
      <c r="G119" s="1">
        <v>0.151</v>
      </c>
      <c r="H119" s="1">
        <v>19</v>
      </c>
      <c r="I119" s="1">
        <v>84.1</v>
      </c>
      <c r="J119" s="1">
        <v>1.56</v>
      </c>
      <c r="K119" s="1">
        <v>0</v>
      </c>
      <c r="L119" s="1">
        <v>4.7</v>
      </c>
      <c r="M119" s="1">
        <v>820519.04</v>
      </c>
      <c r="N119" s="1">
        <v>99035.88</v>
      </c>
    </row>
    <row r="120" spans="1:14">
      <c r="A120" s="1" t="s">
        <v>51</v>
      </c>
      <c r="B120" s="3">
        <v>45717</v>
      </c>
      <c r="C120" s="1" t="s">
        <v>27</v>
      </c>
      <c r="D120" s="1" t="s">
        <v>16</v>
      </c>
      <c r="E120" s="1">
        <v>42415.47</v>
      </c>
      <c r="F120" s="1">
        <v>8512</v>
      </c>
      <c r="G120" s="1">
        <v>0.13300000000000001</v>
      </c>
      <c r="H120" s="1">
        <v>18</v>
      </c>
      <c r="I120" s="1">
        <v>96.8</v>
      </c>
      <c r="J120" s="1">
        <v>14.95</v>
      </c>
      <c r="K120" s="1">
        <v>0</v>
      </c>
      <c r="L120" s="1">
        <v>4.5999999999999996</v>
      </c>
      <c r="M120" s="1">
        <v>684217.32</v>
      </c>
      <c r="N120" s="1">
        <v>136217.19</v>
      </c>
    </row>
    <row r="121" spans="1:14">
      <c r="A121" s="1" t="s">
        <v>51</v>
      </c>
      <c r="B121" s="3">
        <v>45748</v>
      </c>
      <c r="C121" s="1" t="s">
        <v>27</v>
      </c>
      <c r="D121" s="1" t="s">
        <v>16</v>
      </c>
      <c r="E121" s="1">
        <v>54968.98</v>
      </c>
      <c r="F121" s="1">
        <v>7816</v>
      </c>
      <c r="G121" s="1">
        <v>0.23200000000000001</v>
      </c>
      <c r="H121" s="1">
        <v>19</v>
      </c>
      <c r="I121" s="1">
        <v>95.7</v>
      </c>
      <c r="J121" s="1">
        <v>7.85</v>
      </c>
      <c r="K121" s="1">
        <v>0</v>
      </c>
      <c r="L121" s="1">
        <v>4.7</v>
      </c>
      <c r="M121" s="1">
        <v>735480.19</v>
      </c>
      <c r="N121" s="1">
        <v>88342.11</v>
      </c>
    </row>
    <row r="122" spans="1:14">
      <c r="A122" s="1" t="s">
        <v>52</v>
      </c>
      <c r="B122" s="3">
        <v>45658</v>
      </c>
      <c r="C122" s="1" t="s">
        <v>20</v>
      </c>
      <c r="D122" s="1" t="s">
        <v>18</v>
      </c>
      <c r="E122" s="1">
        <v>43896.13</v>
      </c>
      <c r="F122" s="1">
        <v>3853</v>
      </c>
      <c r="G122" s="1">
        <v>8.7999999999999995E-2</v>
      </c>
      <c r="H122" s="1">
        <v>13</v>
      </c>
      <c r="I122" s="1">
        <v>83</v>
      </c>
      <c r="J122" s="1">
        <v>6.8</v>
      </c>
      <c r="K122" s="1">
        <v>0</v>
      </c>
      <c r="L122" s="1">
        <v>4.4000000000000004</v>
      </c>
      <c r="M122" s="1">
        <v>509484.81</v>
      </c>
      <c r="N122" s="1">
        <v>85742.36</v>
      </c>
    </row>
    <row r="123" spans="1:14">
      <c r="A123" s="1" t="s">
        <v>52</v>
      </c>
      <c r="B123" s="3">
        <v>45689</v>
      </c>
      <c r="C123" s="1" t="s">
        <v>20</v>
      </c>
      <c r="D123" s="1" t="s">
        <v>18</v>
      </c>
      <c r="E123" s="1">
        <v>83044.17</v>
      </c>
      <c r="F123" s="1">
        <v>3694</v>
      </c>
      <c r="G123" s="1">
        <v>0</v>
      </c>
      <c r="H123" s="1">
        <v>14</v>
      </c>
      <c r="I123" s="1">
        <v>89.4</v>
      </c>
      <c r="J123" s="1">
        <v>2.2000000000000002</v>
      </c>
      <c r="K123" s="1">
        <v>0</v>
      </c>
      <c r="L123" s="1">
        <v>3.7</v>
      </c>
      <c r="M123" s="1">
        <v>654317.09</v>
      </c>
      <c r="N123" s="1">
        <v>121446.89</v>
      </c>
    </row>
    <row r="124" spans="1:14">
      <c r="A124" s="1" t="s">
        <v>52</v>
      </c>
      <c r="B124" s="3">
        <v>45717</v>
      </c>
      <c r="C124" s="1" t="s">
        <v>20</v>
      </c>
      <c r="D124" s="1" t="s">
        <v>18</v>
      </c>
      <c r="E124" s="1">
        <v>48396.13</v>
      </c>
      <c r="F124" s="1">
        <v>4423</v>
      </c>
      <c r="G124" s="1">
        <v>6.9000000000000006E-2</v>
      </c>
      <c r="H124" s="1">
        <v>15</v>
      </c>
      <c r="I124" s="1">
        <v>85.7</v>
      </c>
      <c r="J124" s="1">
        <v>1.88</v>
      </c>
      <c r="K124" s="1">
        <v>0</v>
      </c>
      <c r="L124" s="1">
        <v>3.9</v>
      </c>
      <c r="M124" s="1">
        <v>557487.26</v>
      </c>
      <c r="N124" s="1">
        <v>76432.19</v>
      </c>
    </row>
    <row r="125" spans="1:14">
      <c r="A125" s="1" t="s">
        <v>52</v>
      </c>
      <c r="B125" s="3">
        <v>45748</v>
      </c>
      <c r="C125" s="1" t="s">
        <v>20</v>
      </c>
      <c r="D125" s="1" t="s">
        <v>18</v>
      </c>
      <c r="E125" s="1">
        <v>19063.48</v>
      </c>
      <c r="F125" s="1">
        <v>1906</v>
      </c>
      <c r="G125" s="1">
        <v>0.216</v>
      </c>
      <c r="H125" s="1">
        <v>10</v>
      </c>
      <c r="I125" s="1">
        <v>97.8</v>
      </c>
      <c r="J125" s="1">
        <v>15.79</v>
      </c>
      <c r="K125" s="1">
        <v>0</v>
      </c>
      <c r="L125" s="1">
        <v>4.4000000000000004</v>
      </c>
      <c r="M125" s="1">
        <v>441275.42</v>
      </c>
      <c r="N125" s="1">
        <v>58234.87</v>
      </c>
    </row>
    <row r="126" spans="1:14">
      <c r="A126" s="1" t="s">
        <v>53</v>
      </c>
      <c r="B126" s="3">
        <v>45658</v>
      </c>
      <c r="C126" s="1" t="s">
        <v>24</v>
      </c>
      <c r="D126" s="1" t="s">
        <v>18</v>
      </c>
      <c r="E126" s="1">
        <v>61541.21</v>
      </c>
      <c r="F126" s="1">
        <v>10396</v>
      </c>
      <c r="G126" s="1">
        <v>0.123</v>
      </c>
      <c r="H126" s="1">
        <v>25</v>
      </c>
      <c r="I126" s="1">
        <v>88.1</v>
      </c>
      <c r="J126" s="1">
        <v>2.34</v>
      </c>
      <c r="K126" s="1">
        <v>1</v>
      </c>
      <c r="L126" s="1">
        <v>4.8</v>
      </c>
      <c r="M126" s="1">
        <v>914544.17</v>
      </c>
      <c r="N126" s="1">
        <v>79831.73</v>
      </c>
    </row>
    <row r="127" spans="1:14">
      <c r="A127" s="1" t="s">
        <v>53</v>
      </c>
      <c r="B127" s="3">
        <v>45689</v>
      </c>
      <c r="C127" s="1" t="s">
        <v>24</v>
      </c>
      <c r="D127" s="1" t="s">
        <v>18</v>
      </c>
      <c r="E127" s="1">
        <v>44747</v>
      </c>
      <c r="F127" s="1">
        <v>11076</v>
      </c>
      <c r="G127" s="1">
        <v>0.17599999999999999</v>
      </c>
      <c r="H127" s="1">
        <v>27</v>
      </c>
      <c r="I127" s="1">
        <v>98.3</v>
      </c>
      <c r="J127" s="1">
        <v>0.54</v>
      </c>
      <c r="K127" s="1">
        <v>0</v>
      </c>
      <c r="L127" s="1">
        <v>4.4000000000000004</v>
      </c>
      <c r="M127" s="1">
        <v>842439.67</v>
      </c>
      <c r="N127" s="1">
        <v>169983.63</v>
      </c>
    </row>
    <row r="128" spans="1:14">
      <c r="A128" s="1" t="s">
        <v>53</v>
      </c>
      <c r="B128" s="3">
        <v>45717</v>
      </c>
      <c r="C128" s="1" t="s">
        <v>24</v>
      </c>
      <c r="D128" s="1" t="s">
        <v>18</v>
      </c>
      <c r="E128" s="1">
        <v>56517.9</v>
      </c>
      <c r="F128" s="1">
        <v>9574</v>
      </c>
      <c r="G128" s="1">
        <v>0.20399999999999999</v>
      </c>
      <c r="H128" s="1">
        <v>20</v>
      </c>
      <c r="I128" s="1">
        <v>88.2</v>
      </c>
      <c r="J128" s="1">
        <v>5.37</v>
      </c>
      <c r="K128" s="1">
        <v>1</v>
      </c>
      <c r="L128" s="1">
        <v>4.9000000000000004</v>
      </c>
      <c r="M128" s="1">
        <v>842157.92</v>
      </c>
      <c r="N128" s="1">
        <v>107348.22</v>
      </c>
    </row>
    <row r="129" spans="1:14">
      <c r="A129" s="1" t="s">
        <v>53</v>
      </c>
      <c r="B129" s="3">
        <v>45748</v>
      </c>
      <c r="C129" s="1" t="s">
        <v>24</v>
      </c>
      <c r="D129" s="1" t="s">
        <v>18</v>
      </c>
      <c r="E129" s="1">
        <v>37828.5</v>
      </c>
      <c r="F129" s="1">
        <v>8221</v>
      </c>
      <c r="G129" s="1">
        <v>9.6000000000000002E-2</v>
      </c>
      <c r="H129" s="1">
        <v>19</v>
      </c>
      <c r="I129" s="1">
        <v>81.5</v>
      </c>
      <c r="J129" s="1">
        <v>3.19</v>
      </c>
      <c r="K129" s="1">
        <v>0</v>
      </c>
      <c r="L129" s="1">
        <v>4.8</v>
      </c>
      <c r="M129" s="1">
        <v>697155.3</v>
      </c>
      <c r="N129" s="1">
        <v>136408.54</v>
      </c>
    </row>
    <row r="130" spans="1:14">
      <c r="A130" s="1" t="s">
        <v>54</v>
      </c>
      <c r="B130" s="3">
        <v>45658</v>
      </c>
      <c r="C130" s="1" t="s">
        <v>15</v>
      </c>
      <c r="D130" s="1" t="s">
        <v>18</v>
      </c>
      <c r="E130" s="1">
        <v>66250.53</v>
      </c>
      <c r="F130" s="1">
        <v>10618</v>
      </c>
      <c r="G130" s="1">
        <v>0.14199999999999999</v>
      </c>
      <c r="H130" s="1">
        <v>27</v>
      </c>
      <c r="I130" s="1">
        <v>88.3</v>
      </c>
      <c r="J130" s="1">
        <v>1.1000000000000001</v>
      </c>
      <c r="K130" s="1">
        <v>1</v>
      </c>
      <c r="L130" s="1">
        <v>4.4000000000000004</v>
      </c>
      <c r="M130" s="1">
        <v>849018.3</v>
      </c>
      <c r="N130" s="1">
        <v>149035.13</v>
      </c>
    </row>
    <row r="131" spans="1:14">
      <c r="A131" s="1" t="s">
        <v>54</v>
      </c>
      <c r="B131" s="3">
        <v>45689</v>
      </c>
      <c r="C131" s="1" t="s">
        <v>15</v>
      </c>
      <c r="D131" s="1" t="s">
        <v>18</v>
      </c>
      <c r="E131" s="1">
        <v>68410.929999999993</v>
      </c>
      <c r="F131" s="1">
        <v>10596</v>
      </c>
      <c r="G131" s="1">
        <v>0.20699999999999999</v>
      </c>
      <c r="H131" s="1">
        <v>25</v>
      </c>
      <c r="I131" s="1">
        <v>81.2</v>
      </c>
      <c r="J131" s="1">
        <v>0.21</v>
      </c>
      <c r="K131" s="1">
        <v>0</v>
      </c>
      <c r="L131" s="1">
        <v>4</v>
      </c>
      <c r="M131" s="1">
        <v>801830.35</v>
      </c>
      <c r="N131" s="1">
        <v>114875.32</v>
      </c>
    </row>
    <row r="132" spans="1:14">
      <c r="A132" s="1" t="s">
        <v>54</v>
      </c>
      <c r="B132" s="3">
        <v>45717</v>
      </c>
      <c r="C132" s="1" t="s">
        <v>15</v>
      </c>
      <c r="D132" s="1" t="s">
        <v>18</v>
      </c>
      <c r="E132" s="1">
        <v>50735.63</v>
      </c>
      <c r="F132" s="1">
        <v>9619</v>
      </c>
      <c r="G132" s="1">
        <v>0.14399999999999999</v>
      </c>
      <c r="H132" s="1">
        <v>19</v>
      </c>
      <c r="I132" s="1">
        <v>93.8</v>
      </c>
      <c r="J132" s="1">
        <v>5.12</v>
      </c>
      <c r="K132" s="1">
        <v>1</v>
      </c>
      <c r="L132" s="1">
        <v>4.5</v>
      </c>
      <c r="M132" s="1">
        <v>725235.28</v>
      </c>
      <c r="N132" s="1">
        <v>121632.24</v>
      </c>
    </row>
    <row r="133" spans="1:14">
      <c r="A133" s="1" t="s">
        <v>54</v>
      </c>
      <c r="B133" s="3">
        <v>45748</v>
      </c>
      <c r="C133" s="1" t="s">
        <v>15</v>
      </c>
      <c r="D133" s="1" t="s">
        <v>18</v>
      </c>
      <c r="E133" s="1">
        <v>66455.8</v>
      </c>
      <c r="F133" s="1">
        <v>10836</v>
      </c>
      <c r="G133" s="1">
        <v>8.8999999999999996E-2</v>
      </c>
      <c r="H133" s="1">
        <v>25</v>
      </c>
      <c r="I133" s="1">
        <v>85</v>
      </c>
      <c r="J133" s="1">
        <v>9.77</v>
      </c>
      <c r="K133" s="1">
        <v>0</v>
      </c>
      <c r="L133" s="1">
        <v>4.5</v>
      </c>
      <c r="M133" s="1">
        <v>811452.72</v>
      </c>
      <c r="N133" s="1">
        <v>131325.67000000001</v>
      </c>
    </row>
    <row r="134" spans="1:14">
      <c r="A134" s="1" t="s">
        <v>55</v>
      </c>
      <c r="B134" s="3">
        <v>45658</v>
      </c>
      <c r="C134" s="1" t="s">
        <v>20</v>
      </c>
      <c r="D134" s="1" t="s">
        <v>18</v>
      </c>
      <c r="E134" s="1">
        <v>70276.28</v>
      </c>
      <c r="F134" s="1">
        <v>3043</v>
      </c>
      <c r="G134" s="1">
        <v>7.9000000000000001E-2</v>
      </c>
      <c r="H134" s="1">
        <v>9</v>
      </c>
      <c r="I134" s="1">
        <v>87.9</v>
      </c>
      <c r="J134" s="1">
        <v>3.77</v>
      </c>
      <c r="K134" s="1">
        <v>0</v>
      </c>
      <c r="L134" s="1">
        <v>4.4000000000000004</v>
      </c>
      <c r="M134" s="1">
        <v>527300.13</v>
      </c>
      <c r="N134" s="1">
        <v>84197.87</v>
      </c>
    </row>
    <row r="135" spans="1:14">
      <c r="A135" s="1" t="s">
        <v>55</v>
      </c>
      <c r="B135" s="3">
        <v>45689</v>
      </c>
      <c r="C135" s="1" t="s">
        <v>20</v>
      </c>
      <c r="D135" s="1" t="s">
        <v>18</v>
      </c>
      <c r="E135" s="1">
        <v>22071.64</v>
      </c>
      <c r="F135" s="1">
        <v>1814</v>
      </c>
      <c r="G135" s="1">
        <v>0.19600000000000001</v>
      </c>
      <c r="H135" s="1">
        <v>8</v>
      </c>
      <c r="I135" s="1">
        <v>81.099999999999994</v>
      </c>
      <c r="J135" s="1">
        <v>0.78</v>
      </c>
      <c r="K135" s="1">
        <v>0</v>
      </c>
      <c r="L135" s="1"/>
      <c r="M135" s="1">
        <v>400831.65</v>
      </c>
      <c r="N135" s="1">
        <v>70979.31</v>
      </c>
    </row>
    <row r="136" spans="1:14">
      <c r="A136" s="1" t="s">
        <v>55</v>
      </c>
      <c r="B136" s="3">
        <v>45717</v>
      </c>
      <c r="C136" s="1" t="s">
        <v>20</v>
      </c>
      <c r="D136" s="1" t="s">
        <v>18</v>
      </c>
      <c r="E136" s="1">
        <v>52285.45</v>
      </c>
      <c r="F136" s="1">
        <v>3618</v>
      </c>
      <c r="G136" s="1">
        <v>8.5999999999999993E-2</v>
      </c>
      <c r="H136" s="1">
        <v>11</v>
      </c>
      <c r="I136" s="1">
        <v>95.6</v>
      </c>
      <c r="J136" s="1">
        <v>5.17</v>
      </c>
      <c r="K136" s="1">
        <v>1</v>
      </c>
      <c r="L136" s="1">
        <v>4.4000000000000004</v>
      </c>
      <c r="M136" s="1">
        <v>593247.25</v>
      </c>
      <c r="N136" s="1">
        <v>81240.289999999994</v>
      </c>
    </row>
    <row r="137" spans="1:14">
      <c r="A137" s="1" t="s">
        <v>55</v>
      </c>
      <c r="B137" s="3">
        <v>45748</v>
      </c>
      <c r="C137" s="1" t="s">
        <v>20</v>
      </c>
      <c r="D137" s="1" t="s">
        <v>18</v>
      </c>
      <c r="E137" s="1">
        <v>70366.759999999995</v>
      </c>
      <c r="F137" s="1">
        <v>1963</v>
      </c>
      <c r="G137" s="1">
        <v>0.182</v>
      </c>
      <c r="H137" s="1">
        <v>8</v>
      </c>
      <c r="I137" s="1">
        <v>89.8</v>
      </c>
      <c r="J137" s="1">
        <v>3.2</v>
      </c>
      <c r="K137" s="1">
        <v>0</v>
      </c>
      <c r="L137" s="1">
        <v>4.5999999999999996</v>
      </c>
      <c r="M137" s="1">
        <v>529075.94999999995</v>
      </c>
      <c r="N137" s="1">
        <v>95978.83</v>
      </c>
    </row>
    <row r="138" spans="1:14">
      <c r="A138" s="1" t="s">
        <v>56</v>
      </c>
      <c r="B138" s="3">
        <v>45658</v>
      </c>
      <c r="C138" s="1" t="s">
        <v>24</v>
      </c>
      <c r="D138" s="1" t="s">
        <v>16</v>
      </c>
      <c r="E138" s="1">
        <v>71320.66</v>
      </c>
      <c r="F138" s="1">
        <v>7888</v>
      </c>
      <c r="G138" s="1">
        <v>4.8000000000000001E-2</v>
      </c>
      <c r="H138" s="1">
        <v>20</v>
      </c>
      <c r="I138" s="1">
        <v>78.099999999999994</v>
      </c>
      <c r="J138" s="1">
        <v>3.4</v>
      </c>
      <c r="K138" s="1">
        <v>0</v>
      </c>
      <c r="L138" s="1"/>
      <c r="M138" s="1">
        <v>633638.03</v>
      </c>
      <c r="N138" s="1">
        <v>99402.01</v>
      </c>
    </row>
    <row r="139" spans="1:14">
      <c r="A139" s="1" t="s">
        <v>56</v>
      </c>
      <c r="B139" s="3">
        <v>45689</v>
      </c>
      <c r="C139" s="1" t="s">
        <v>24</v>
      </c>
      <c r="D139" s="1" t="s">
        <v>16</v>
      </c>
      <c r="E139" s="1">
        <v>75109.67</v>
      </c>
      <c r="F139" s="1">
        <v>6244</v>
      </c>
      <c r="G139" s="1">
        <v>7.9000000000000001E-2</v>
      </c>
      <c r="H139" s="1">
        <v>15</v>
      </c>
      <c r="I139" s="1">
        <v>96.3</v>
      </c>
      <c r="J139" s="1">
        <v>7.38</v>
      </c>
      <c r="K139" s="1">
        <v>0</v>
      </c>
      <c r="L139" s="1">
        <v>3.7</v>
      </c>
      <c r="M139" s="1">
        <v>743348.84</v>
      </c>
      <c r="N139" s="1">
        <v>104186.09</v>
      </c>
    </row>
    <row r="140" spans="1:14">
      <c r="A140" s="1" t="s">
        <v>56</v>
      </c>
      <c r="B140" s="3">
        <v>45717</v>
      </c>
      <c r="C140" s="1" t="s">
        <v>24</v>
      </c>
      <c r="D140" s="1" t="s">
        <v>16</v>
      </c>
      <c r="E140" s="1">
        <v>69779</v>
      </c>
      <c r="F140" s="1">
        <v>6544</v>
      </c>
      <c r="G140" s="1">
        <v>0.152</v>
      </c>
      <c r="H140" s="1">
        <v>18</v>
      </c>
      <c r="I140" s="1">
        <v>90.2</v>
      </c>
      <c r="J140" s="1">
        <v>0.85</v>
      </c>
      <c r="K140" s="1">
        <v>1</v>
      </c>
      <c r="L140" s="1">
        <v>3.3</v>
      </c>
      <c r="M140" s="1">
        <v>758827.64</v>
      </c>
      <c r="N140" s="1">
        <v>161439.48000000001</v>
      </c>
    </row>
    <row r="141" spans="1:14">
      <c r="A141" s="1" t="s">
        <v>56</v>
      </c>
      <c r="B141" s="3">
        <v>45748</v>
      </c>
      <c r="C141" s="1" t="s">
        <v>24</v>
      </c>
      <c r="D141" s="1" t="s">
        <v>16</v>
      </c>
      <c r="E141" s="1">
        <v>44211.95</v>
      </c>
      <c r="F141" s="1">
        <v>5465</v>
      </c>
      <c r="G141" s="1">
        <v>0.187</v>
      </c>
      <c r="H141" s="1">
        <v>12</v>
      </c>
      <c r="I141" s="1">
        <v>90</v>
      </c>
      <c r="J141" s="1">
        <v>2.89</v>
      </c>
      <c r="K141" s="1">
        <v>0</v>
      </c>
      <c r="L141" s="1">
        <v>3.6</v>
      </c>
      <c r="M141" s="1">
        <v>646559.71</v>
      </c>
      <c r="N141" s="1">
        <v>97981.75</v>
      </c>
    </row>
    <row r="142" spans="1:14">
      <c r="A142" s="1" t="s">
        <v>57</v>
      </c>
      <c r="B142" s="3">
        <v>45658</v>
      </c>
      <c r="C142" s="1" t="s">
        <v>27</v>
      </c>
      <c r="D142" s="1" t="s">
        <v>18</v>
      </c>
      <c r="E142" s="1">
        <v>51430.31</v>
      </c>
      <c r="F142" s="1">
        <v>6427</v>
      </c>
      <c r="G142" s="1">
        <v>0.23400000000000001</v>
      </c>
      <c r="H142" s="1">
        <v>14</v>
      </c>
      <c r="I142" s="1">
        <v>88.8</v>
      </c>
      <c r="J142" s="1">
        <v>0.77</v>
      </c>
      <c r="K142" s="1">
        <v>0</v>
      </c>
      <c r="L142" s="1">
        <v>4.0999999999999996</v>
      </c>
      <c r="M142" s="1">
        <v>715890.53</v>
      </c>
      <c r="N142" s="1">
        <v>109032.15</v>
      </c>
    </row>
    <row r="143" spans="1:14">
      <c r="A143" s="1" t="s">
        <v>57</v>
      </c>
      <c r="B143" s="3">
        <v>45689</v>
      </c>
      <c r="C143" s="1" t="s">
        <v>27</v>
      </c>
      <c r="D143" s="1" t="s">
        <v>18</v>
      </c>
      <c r="E143" s="1">
        <v>45706.49</v>
      </c>
      <c r="F143" s="1">
        <v>6704</v>
      </c>
      <c r="G143" s="1">
        <v>3.7999999999999999E-2</v>
      </c>
      <c r="H143" s="1">
        <v>15</v>
      </c>
      <c r="I143" s="1">
        <v>94.2</v>
      </c>
      <c r="J143" s="1">
        <v>2.92</v>
      </c>
      <c r="K143" s="1">
        <v>0</v>
      </c>
      <c r="L143" s="1">
        <v>4.2</v>
      </c>
      <c r="M143" s="1">
        <v>715097.57</v>
      </c>
      <c r="N143" s="1">
        <v>151875.85999999999</v>
      </c>
    </row>
    <row r="144" spans="1:14">
      <c r="A144" s="1" t="s">
        <v>57</v>
      </c>
      <c r="B144" s="3">
        <v>45717</v>
      </c>
      <c r="C144" s="1" t="s">
        <v>27</v>
      </c>
      <c r="D144" s="1" t="s">
        <v>18</v>
      </c>
      <c r="E144" s="1">
        <v>44034.6</v>
      </c>
      <c r="F144" s="1">
        <v>5645</v>
      </c>
      <c r="G144" s="1">
        <v>6.9000000000000006E-2</v>
      </c>
      <c r="H144" s="1">
        <v>18</v>
      </c>
      <c r="I144" s="1">
        <v>88.5</v>
      </c>
      <c r="J144" s="1">
        <v>3.07</v>
      </c>
      <c r="K144" s="1">
        <v>0</v>
      </c>
      <c r="L144" s="1">
        <v>3.8</v>
      </c>
      <c r="M144" s="1">
        <v>682639.28</v>
      </c>
      <c r="N144" s="1">
        <v>77557.53</v>
      </c>
    </row>
    <row r="145" spans="1:14">
      <c r="A145" s="1" t="s">
        <v>57</v>
      </c>
      <c r="B145" s="3">
        <v>45748</v>
      </c>
      <c r="C145" s="1" t="s">
        <v>27</v>
      </c>
      <c r="D145" s="1" t="s">
        <v>18</v>
      </c>
      <c r="E145" s="1">
        <v>50198.12</v>
      </c>
      <c r="F145" s="1">
        <v>6089</v>
      </c>
      <c r="G145" s="1">
        <v>0.182</v>
      </c>
      <c r="H145" s="1">
        <v>19</v>
      </c>
      <c r="I145" s="1">
        <v>94</v>
      </c>
      <c r="J145" s="1">
        <v>9.6999999999999993</v>
      </c>
      <c r="K145" s="1">
        <v>0</v>
      </c>
      <c r="L145" s="1">
        <v>3.9</v>
      </c>
      <c r="M145" s="1">
        <v>695098.51</v>
      </c>
      <c r="N145" s="1">
        <v>108192.75</v>
      </c>
    </row>
    <row r="146" spans="1:14">
      <c r="A146" s="1" t="s">
        <v>58</v>
      </c>
      <c r="B146" s="3">
        <v>45658</v>
      </c>
      <c r="C146" s="1" t="s">
        <v>20</v>
      </c>
      <c r="D146" s="1" t="s">
        <v>16</v>
      </c>
      <c r="E146" s="1">
        <v>70488.2</v>
      </c>
      <c r="F146" s="1">
        <v>4312</v>
      </c>
      <c r="G146" s="1">
        <v>0.16900000000000001</v>
      </c>
      <c r="H146" s="1">
        <v>12</v>
      </c>
      <c r="I146" s="1">
        <v>90.2</v>
      </c>
      <c r="J146" s="1">
        <v>3.71</v>
      </c>
      <c r="K146" s="1">
        <v>0</v>
      </c>
      <c r="L146" s="1">
        <v>3.2</v>
      </c>
      <c r="M146" s="1">
        <v>577732.56999999995</v>
      </c>
      <c r="N146" s="1">
        <v>93804.27</v>
      </c>
    </row>
    <row r="147" spans="1:14">
      <c r="A147" s="1" t="s">
        <v>58</v>
      </c>
      <c r="B147" s="3">
        <v>45689</v>
      </c>
      <c r="C147" s="1" t="s">
        <v>20</v>
      </c>
      <c r="D147" s="1" t="s">
        <v>16</v>
      </c>
      <c r="E147" s="1">
        <v>50909.27</v>
      </c>
      <c r="F147" s="1">
        <v>3152</v>
      </c>
      <c r="G147" s="1">
        <v>0.06</v>
      </c>
      <c r="H147" s="1">
        <v>13</v>
      </c>
      <c r="I147" s="1">
        <v>93.7</v>
      </c>
      <c r="J147" s="1">
        <v>10.79</v>
      </c>
      <c r="K147" s="1">
        <v>0</v>
      </c>
      <c r="L147" s="1">
        <v>3.5</v>
      </c>
      <c r="M147" s="1">
        <v>537058.32999999996</v>
      </c>
      <c r="N147" s="1">
        <v>93555.71</v>
      </c>
    </row>
    <row r="148" spans="1:14">
      <c r="A148" s="1" t="s">
        <v>58</v>
      </c>
      <c r="B148" s="3">
        <v>45717</v>
      </c>
      <c r="C148" s="1" t="s">
        <v>20</v>
      </c>
      <c r="D148" s="1" t="s">
        <v>16</v>
      </c>
      <c r="E148" s="1">
        <v>53351.7</v>
      </c>
      <c r="F148" s="1">
        <v>4259</v>
      </c>
      <c r="G148" s="1">
        <v>0.156</v>
      </c>
      <c r="H148" s="1">
        <v>15</v>
      </c>
      <c r="I148" s="1">
        <v>93.7</v>
      </c>
      <c r="J148" s="1">
        <v>6.03</v>
      </c>
      <c r="K148" s="1">
        <v>0</v>
      </c>
      <c r="L148" s="1">
        <v>3.4</v>
      </c>
      <c r="M148" s="1">
        <v>601568.87</v>
      </c>
      <c r="N148" s="1">
        <v>91634.82</v>
      </c>
    </row>
    <row r="149" spans="1:14">
      <c r="A149" s="1" t="s">
        <v>58</v>
      </c>
      <c r="B149" s="3">
        <v>45748</v>
      </c>
      <c r="C149" s="1" t="s">
        <v>20</v>
      </c>
      <c r="D149" s="1" t="s">
        <v>16</v>
      </c>
      <c r="E149" s="1">
        <v>60322.400000000001</v>
      </c>
      <c r="F149" s="1">
        <v>3350</v>
      </c>
      <c r="G149" s="1">
        <v>0.108</v>
      </c>
      <c r="H149" s="1">
        <v>12</v>
      </c>
      <c r="I149" s="1">
        <v>89.4</v>
      </c>
      <c r="J149" s="1">
        <v>4.92</v>
      </c>
      <c r="K149" s="1">
        <v>0</v>
      </c>
      <c r="L149" s="1">
        <v>3.4</v>
      </c>
      <c r="M149" s="1">
        <v>570964.84</v>
      </c>
      <c r="N149" s="1">
        <v>81331.070000000007</v>
      </c>
    </row>
    <row r="150" spans="1:14">
      <c r="A150" s="1" t="s">
        <v>59</v>
      </c>
      <c r="B150" s="3">
        <v>45658</v>
      </c>
      <c r="C150" s="1" t="s">
        <v>24</v>
      </c>
      <c r="D150" s="1" t="s">
        <v>28</v>
      </c>
      <c r="E150" s="1">
        <v>51575.68</v>
      </c>
      <c r="F150" s="1">
        <v>5329</v>
      </c>
      <c r="G150" s="1">
        <v>4.7E-2</v>
      </c>
      <c r="H150" s="1">
        <v>17</v>
      </c>
      <c r="I150" s="1">
        <v>88.1</v>
      </c>
      <c r="J150" s="1">
        <v>19.78</v>
      </c>
      <c r="K150" s="1">
        <v>0</v>
      </c>
      <c r="L150" s="1">
        <v>3.8</v>
      </c>
      <c r="M150" s="1">
        <v>614024.91</v>
      </c>
      <c r="N150" s="1">
        <v>84828.93</v>
      </c>
    </row>
    <row r="151" spans="1:14">
      <c r="A151" s="1" t="s">
        <v>59</v>
      </c>
      <c r="B151" s="3">
        <v>45689</v>
      </c>
      <c r="C151" s="1" t="s">
        <v>24</v>
      </c>
      <c r="D151" s="1" t="s">
        <v>28</v>
      </c>
      <c r="E151" s="1">
        <v>43319.94</v>
      </c>
      <c r="F151" s="1">
        <v>6551</v>
      </c>
      <c r="G151" s="1">
        <v>4.3999999999999997E-2</v>
      </c>
      <c r="H151" s="1">
        <v>13</v>
      </c>
      <c r="I151" s="1">
        <v>99</v>
      </c>
      <c r="J151" s="1">
        <v>5.45</v>
      </c>
      <c r="K151" s="1">
        <v>0</v>
      </c>
      <c r="L151" s="1">
        <v>4.0999999999999996</v>
      </c>
      <c r="M151" s="1">
        <v>712868.35</v>
      </c>
      <c r="N151" s="1">
        <v>133650.51</v>
      </c>
    </row>
    <row r="152" spans="1:14">
      <c r="A152" s="1" t="s">
        <v>59</v>
      </c>
      <c r="B152" s="3">
        <v>45717</v>
      </c>
      <c r="C152" s="1" t="s">
        <v>24</v>
      </c>
      <c r="D152" s="1" t="s">
        <v>28</v>
      </c>
      <c r="E152" s="1">
        <v>47093.55</v>
      </c>
      <c r="F152" s="1">
        <v>5550</v>
      </c>
      <c r="G152" s="1">
        <v>0.1</v>
      </c>
      <c r="H152" s="1">
        <v>12</v>
      </c>
      <c r="I152" s="1">
        <v>95</v>
      </c>
      <c r="J152" s="1">
        <v>2.33</v>
      </c>
      <c r="K152" s="1">
        <v>1</v>
      </c>
      <c r="L152" s="1">
        <v>3.7</v>
      </c>
      <c r="M152" s="1">
        <v>696744.15</v>
      </c>
      <c r="N152" s="1">
        <v>152230.09</v>
      </c>
    </row>
    <row r="153" spans="1:14">
      <c r="A153" s="1" t="s">
        <v>59</v>
      </c>
      <c r="B153" s="3">
        <v>45748</v>
      </c>
      <c r="C153" s="1" t="s">
        <v>24</v>
      </c>
      <c r="D153" s="1" t="s">
        <v>28</v>
      </c>
      <c r="E153" s="1">
        <v>71855.09</v>
      </c>
      <c r="F153" s="1">
        <v>5911</v>
      </c>
      <c r="G153" s="1">
        <v>0.19700000000000001</v>
      </c>
      <c r="H153" s="1">
        <v>15</v>
      </c>
      <c r="I153" s="1">
        <v>94.3</v>
      </c>
      <c r="J153" s="1">
        <v>3.55</v>
      </c>
      <c r="K153" s="1">
        <v>0</v>
      </c>
      <c r="L153" s="1">
        <v>4.0999999999999996</v>
      </c>
      <c r="M153" s="1">
        <v>725847.99</v>
      </c>
      <c r="N153" s="1">
        <v>122698.73</v>
      </c>
    </row>
    <row r="154" spans="1:14">
      <c r="A154" s="1" t="s">
        <v>60</v>
      </c>
      <c r="B154" s="3">
        <v>45658</v>
      </c>
      <c r="C154" s="1" t="s">
        <v>15</v>
      </c>
      <c r="D154" s="1" t="s">
        <v>18</v>
      </c>
      <c r="E154" s="1">
        <v>75645.23</v>
      </c>
      <c r="F154" s="1">
        <v>9674</v>
      </c>
      <c r="G154" s="1">
        <v>0.23400000000000001</v>
      </c>
      <c r="H154" s="1">
        <v>21</v>
      </c>
      <c r="I154" s="1">
        <v>87.4</v>
      </c>
      <c r="J154" s="1">
        <v>0.2</v>
      </c>
      <c r="K154" s="1">
        <v>0</v>
      </c>
      <c r="L154" s="1">
        <v>4.5</v>
      </c>
      <c r="M154" s="1">
        <v>785028.25</v>
      </c>
      <c r="N154" s="1">
        <v>110726.44</v>
      </c>
    </row>
    <row r="155" spans="1:14">
      <c r="A155" s="1" t="s">
        <v>60</v>
      </c>
      <c r="B155" s="3">
        <v>45689</v>
      </c>
      <c r="C155" s="1" t="s">
        <v>15</v>
      </c>
      <c r="D155" s="1" t="s">
        <v>18</v>
      </c>
      <c r="E155" s="1">
        <v>64374.75</v>
      </c>
      <c r="F155" s="1">
        <v>6740</v>
      </c>
      <c r="G155" s="1">
        <v>0.16900000000000001</v>
      </c>
      <c r="H155" s="1">
        <v>18</v>
      </c>
      <c r="I155" s="1">
        <v>87</v>
      </c>
      <c r="J155" s="1">
        <v>2.09</v>
      </c>
      <c r="K155" s="1">
        <v>0</v>
      </c>
      <c r="L155" s="1">
        <v>4.2</v>
      </c>
      <c r="M155" s="1">
        <v>698492.67</v>
      </c>
      <c r="N155" s="1">
        <v>117319.32</v>
      </c>
    </row>
    <row r="156" spans="1:14">
      <c r="A156" s="1" t="s">
        <v>60</v>
      </c>
      <c r="B156" s="3">
        <v>45717</v>
      </c>
      <c r="C156" s="1" t="s">
        <v>15</v>
      </c>
      <c r="D156" s="1" t="s">
        <v>18</v>
      </c>
      <c r="E156" s="1">
        <v>61433.84</v>
      </c>
      <c r="F156" s="1">
        <v>7745</v>
      </c>
      <c r="G156" s="1">
        <v>0.18</v>
      </c>
      <c r="H156" s="1">
        <v>16</v>
      </c>
      <c r="I156" s="1">
        <v>90.5</v>
      </c>
      <c r="J156" s="1">
        <v>2.2599999999999998</v>
      </c>
      <c r="K156" s="1">
        <v>0</v>
      </c>
      <c r="L156" s="1">
        <v>4.2</v>
      </c>
      <c r="M156" s="1">
        <v>685830.24</v>
      </c>
      <c r="N156" s="1">
        <v>128736.18</v>
      </c>
    </row>
    <row r="157" spans="1:14">
      <c r="A157" s="1" t="s">
        <v>60</v>
      </c>
      <c r="B157" s="3">
        <v>45748</v>
      </c>
      <c r="C157" s="1" t="s">
        <v>15</v>
      </c>
      <c r="D157" s="1" t="s">
        <v>18</v>
      </c>
      <c r="E157" s="1">
        <v>42698.14</v>
      </c>
      <c r="F157" s="1">
        <v>7693</v>
      </c>
      <c r="G157" s="1">
        <v>0.187</v>
      </c>
      <c r="H157" s="1">
        <v>19</v>
      </c>
      <c r="I157" s="1">
        <v>90.1</v>
      </c>
      <c r="J157" s="1">
        <v>0.44</v>
      </c>
      <c r="K157" s="1">
        <v>0</v>
      </c>
      <c r="L157" s="1">
        <v>4.4000000000000004</v>
      </c>
      <c r="M157" s="1">
        <v>702318.94</v>
      </c>
      <c r="N157" s="1">
        <v>112829.29</v>
      </c>
    </row>
    <row r="158" spans="1:14">
      <c r="A158" s="1" t="s">
        <v>61</v>
      </c>
      <c r="B158" s="3">
        <v>45658</v>
      </c>
      <c r="C158" s="1" t="s">
        <v>20</v>
      </c>
      <c r="D158" s="1" t="s">
        <v>28</v>
      </c>
      <c r="E158" s="1">
        <v>86883.31</v>
      </c>
      <c r="F158" s="1">
        <v>6424</v>
      </c>
      <c r="G158" s="1">
        <v>5.7000000000000002E-2</v>
      </c>
      <c r="H158" s="1">
        <v>19</v>
      </c>
      <c r="I158" s="1">
        <v>85.2</v>
      </c>
      <c r="J158" s="1">
        <v>3.08</v>
      </c>
      <c r="K158" s="1">
        <v>0</v>
      </c>
      <c r="L158" s="1">
        <v>3.9</v>
      </c>
      <c r="M158" s="1">
        <v>700078.32</v>
      </c>
      <c r="N158" s="1">
        <v>123707.58</v>
      </c>
    </row>
    <row r="159" spans="1:14">
      <c r="A159" s="1" t="s">
        <v>61</v>
      </c>
      <c r="B159" s="3">
        <v>45689</v>
      </c>
      <c r="C159" s="1" t="s">
        <v>20</v>
      </c>
      <c r="D159" s="1" t="s">
        <v>28</v>
      </c>
      <c r="E159" s="1">
        <v>41863.08</v>
      </c>
      <c r="F159" s="1">
        <v>5400</v>
      </c>
      <c r="G159" s="1">
        <v>0.114</v>
      </c>
      <c r="H159" s="1">
        <v>11</v>
      </c>
      <c r="I159" s="1">
        <v>91.6</v>
      </c>
      <c r="J159" s="1">
        <v>7.99</v>
      </c>
      <c r="K159" s="1">
        <v>0</v>
      </c>
      <c r="L159" s="1">
        <v>3</v>
      </c>
      <c r="M159" s="1">
        <v>602002.31999999995</v>
      </c>
      <c r="N159" s="1">
        <v>110453.28</v>
      </c>
    </row>
    <row r="160" spans="1:14">
      <c r="A160" s="1" t="s">
        <v>61</v>
      </c>
      <c r="B160" s="3">
        <v>45717</v>
      </c>
      <c r="C160" s="1" t="s">
        <v>20</v>
      </c>
      <c r="D160" s="1" t="s">
        <v>28</v>
      </c>
      <c r="E160" s="1">
        <v>56918.16</v>
      </c>
      <c r="F160" s="1">
        <v>7015</v>
      </c>
      <c r="G160" s="1">
        <v>0.158</v>
      </c>
      <c r="H160" s="1">
        <v>18</v>
      </c>
      <c r="I160" s="1">
        <v>74.2</v>
      </c>
      <c r="J160" s="1">
        <v>0.2</v>
      </c>
      <c r="K160" s="1">
        <v>0</v>
      </c>
      <c r="L160" s="1">
        <v>3.4</v>
      </c>
      <c r="M160" s="1">
        <v>724216.07</v>
      </c>
      <c r="N160" s="1">
        <v>100627.56</v>
      </c>
    </row>
    <row r="161" spans="1:14">
      <c r="A161" s="1" t="s">
        <v>61</v>
      </c>
      <c r="B161" s="3">
        <v>45748</v>
      </c>
      <c r="C161" s="1" t="s">
        <v>20</v>
      </c>
      <c r="D161" s="1" t="s">
        <v>28</v>
      </c>
      <c r="E161" s="1">
        <v>23254.57</v>
      </c>
      <c r="F161" s="1">
        <v>3847</v>
      </c>
      <c r="G161" s="1">
        <v>0.159</v>
      </c>
      <c r="H161" s="1">
        <v>12</v>
      </c>
      <c r="I161" s="1">
        <v>93</v>
      </c>
      <c r="J161" s="1">
        <v>5.46</v>
      </c>
      <c r="K161" s="1">
        <v>0</v>
      </c>
      <c r="L161" s="1">
        <v>3.3</v>
      </c>
      <c r="M161" s="1">
        <v>620973.03</v>
      </c>
      <c r="N161" s="1">
        <v>72303.850000000006</v>
      </c>
    </row>
    <row r="162" spans="1:14">
      <c r="A162" s="1" t="s">
        <v>62</v>
      </c>
      <c r="B162" s="3">
        <v>45658</v>
      </c>
      <c r="C162" s="1" t="s">
        <v>24</v>
      </c>
      <c r="D162" s="1" t="s">
        <v>18</v>
      </c>
      <c r="E162" s="1">
        <v>41443.410000000003</v>
      </c>
      <c r="F162" s="1">
        <v>7455</v>
      </c>
      <c r="G162" s="1">
        <v>0.17499999999999999</v>
      </c>
      <c r="H162" s="1">
        <v>16</v>
      </c>
      <c r="I162" s="1">
        <v>90.1</v>
      </c>
      <c r="J162" s="1">
        <v>4.05</v>
      </c>
      <c r="K162" s="1">
        <v>0</v>
      </c>
      <c r="L162" s="1">
        <v>4</v>
      </c>
      <c r="M162" s="1">
        <v>650480.06000000006</v>
      </c>
      <c r="N162" s="1">
        <v>109012.07</v>
      </c>
    </row>
    <row r="163" spans="1:14">
      <c r="A163" s="1" t="s">
        <v>62</v>
      </c>
      <c r="B163" s="3">
        <v>45689</v>
      </c>
      <c r="C163" s="1" t="s">
        <v>24</v>
      </c>
      <c r="D163" s="1" t="s">
        <v>18</v>
      </c>
      <c r="E163" s="1">
        <v>48438.85</v>
      </c>
      <c r="F163" s="1">
        <v>6992</v>
      </c>
      <c r="G163" s="1">
        <v>3.4000000000000002E-2</v>
      </c>
      <c r="H163" s="1">
        <v>20</v>
      </c>
      <c r="I163" s="1">
        <v>91</v>
      </c>
      <c r="J163" s="1">
        <v>4.3600000000000003</v>
      </c>
      <c r="K163" s="1">
        <v>0</v>
      </c>
      <c r="L163" s="1">
        <v>4.2</v>
      </c>
      <c r="M163" s="1">
        <v>778298.88</v>
      </c>
      <c r="N163" s="1">
        <v>130076.72</v>
      </c>
    </row>
    <row r="164" spans="1:14">
      <c r="A164" s="1" t="s">
        <v>62</v>
      </c>
      <c r="B164" s="3">
        <v>45717</v>
      </c>
      <c r="C164" s="1" t="s">
        <v>24</v>
      </c>
      <c r="D164" s="1" t="s">
        <v>18</v>
      </c>
      <c r="E164" s="1">
        <v>57143.3</v>
      </c>
      <c r="F164" s="1">
        <v>8038</v>
      </c>
      <c r="G164" s="1">
        <v>0.193</v>
      </c>
      <c r="H164" s="1">
        <v>17</v>
      </c>
      <c r="I164" s="1">
        <v>72.599999999999994</v>
      </c>
      <c r="J164" s="1"/>
      <c r="K164" s="1">
        <v>0</v>
      </c>
      <c r="L164" s="1">
        <v>4.2</v>
      </c>
      <c r="M164" s="1">
        <v>677096.71</v>
      </c>
      <c r="N164" s="1">
        <v>97174.11</v>
      </c>
    </row>
    <row r="165" spans="1:14">
      <c r="A165" s="1" t="s">
        <v>62</v>
      </c>
      <c r="B165" s="3">
        <v>45748</v>
      </c>
      <c r="C165" s="1" t="s">
        <v>24</v>
      </c>
      <c r="D165" s="1" t="s">
        <v>18</v>
      </c>
      <c r="E165" s="1">
        <v>66870.62</v>
      </c>
      <c r="F165" s="1">
        <v>6055</v>
      </c>
      <c r="G165" s="1">
        <v>7.4999999999999997E-2</v>
      </c>
      <c r="H165" s="1">
        <v>19</v>
      </c>
      <c r="I165" s="1">
        <v>93.8</v>
      </c>
      <c r="J165" s="1">
        <v>0.54</v>
      </c>
      <c r="K165" s="1">
        <v>0</v>
      </c>
      <c r="L165" s="1">
        <v>4.3</v>
      </c>
      <c r="M165" s="1">
        <v>692008.64</v>
      </c>
      <c r="N165" s="1">
        <v>116337.87</v>
      </c>
    </row>
    <row r="166" spans="1:14">
      <c r="A166" s="1" t="s">
        <v>63</v>
      </c>
      <c r="B166" s="3">
        <v>45658</v>
      </c>
      <c r="C166" s="1" t="s">
        <v>20</v>
      </c>
      <c r="D166" s="1" t="s">
        <v>28</v>
      </c>
      <c r="E166" s="1">
        <v>72150.53</v>
      </c>
      <c r="F166" s="1">
        <v>9323</v>
      </c>
      <c r="G166" s="1">
        <v>0.157</v>
      </c>
      <c r="H166" s="1">
        <v>22</v>
      </c>
      <c r="I166" s="1">
        <v>82.9</v>
      </c>
      <c r="J166" s="1">
        <v>11.37</v>
      </c>
      <c r="K166" s="1">
        <v>1</v>
      </c>
      <c r="L166" s="1">
        <v>4.3</v>
      </c>
      <c r="M166" s="1">
        <v>825797.91</v>
      </c>
      <c r="N166" s="1">
        <v>130945.24</v>
      </c>
    </row>
    <row r="167" spans="1:14">
      <c r="A167" s="1" t="s">
        <v>63</v>
      </c>
      <c r="B167" s="3">
        <v>45689</v>
      </c>
      <c r="C167" s="1" t="s">
        <v>20</v>
      </c>
      <c r="D167" s="1" t="s">
        <v>28</v>
      </c>
      <c r="E167" s="1">
        <v>35303.300000000003</v>
      </c>
      <c r="F167" s="1">
        <v>8789</v>
      </c>
      <c r="G167" s="1">
        <v>0.123</v>
      </c>
      <c r="H167" s="1">
        <v>22</v>
      </c>
      <c r="I167" s="1">
        <v>86.1</v>
      </c>
      <c r="J167" s="1">
        <v>9.43</v>
      </c>
      <c r="K167" s="1">
        <v>0</v>
      </c>
      <c r="L167" s="1">
        <v>4.2</v>
      </c>
      <c r="M167" s="1">
        <v>706285.52</v>
      </c>
      <c r="N167" s="1">
        <v>138014.72</v>
      </c>
    </row>
    <row r="168" spans="1:14">
      <c r="A168" s="1" t="s">
        <v>63</v>
      </c>
      <c r="B168" s="3">
        <v>45717</v>
      </c>
      <c r="C168" s="1" t="s">
        <v>20</v>
      </c>
      <c r="D168" s="1" t="s">
        <v>28</v>
      </c>
      <c r="E168" s="1">
        <v>30301.86</v>
      </c>
      <c r="F168" s="1">
        <v>6939</v>
      </c>
      <c r="G168" s="1">
        <v>0.09</v>
      </c>
      <c r="H168" s="1">
        <v>16</v>
      </c>
      <c r="I168" s="1">
        <v>90.3</v>
      </c>
      <c r="J168" s="1">
        <v>3.49</v>
      </c>
      <c r="K168" s="1">
        <v>0</v>
      </c>
      <c r="L168" s="1">
        <v>4</v>
      </c>
      <c r="M168" s="1">
        <v>665534.69999999995</v>
      </c>
      <c r="N168" s="1">
        <v>113167.73</v>
      </c>
    </row>
    <row r="169" spans="1:14">
      <c r="A169" s="1" t="s">
        <v>63</v>
      </c>
      <c r="B169" s="3">
        <v>45748</v>
      </c>
      <c r="C169" s="1" t="s">
        <v>20</v>
      </c>
      <c r="D169" s="1" t="s">
        <v>28</v>
      </c>
      <c r="E169" s="1">
        <v>78432.14</v>
      </c>
      <c r="F169" s="1">
        <v>9440</v>
      </c>
      <c r="G169" s="1">
        <v>0.126</v>
      </c>
      <c r="H169" s="1">
        <v>23</v>
      </c>
      <c r="I169" s="1">
        <v>89.2</v>
      </c>
      <c r="J169" s="1">
        <v>7.86</v>
      </c>
      <c r="K169" s="1">
        <v>0</v>
      </c>
      <c r="L169" s="1">
        <v>4.0999999999999996</v>
      </c>
      <c r="M169" s="1">
        <v>820729.29</v>
      </c>
      <c r="N169" s="1">
        <v>159325.47</v>
      </c>
    </row>
    <row r="170" spans="1:14">
      <c r="A170" s="1" t="s">
        <v>64</v>
      </c>
      <c r="B170" s="3">
        <v>45658</v>
      </c>
      <c r="C170" s="1" t="s">
        <v>15</v>
      </c>
      <c r="D170" s="1" t="s">
        <v>16</v>
      </c>
      <c r="E170" s="1">
        <v>62059.18</v>
      </c>
      <c r="F170" s="1">
        <v>9374</v>
      </c>
      <c r="G170" s="1">
        <v>0.13600000000000001</v>
      </c>
      <c r="H170" s="1">
        <v>25</v>
      </c>
      <c r="I170" s="1">
        <v>87.1</v>
      </c>
      <c r="J170" s="1">
        <v>12.55</v>
      </c>
      <c r="K170" s="1">
        <v>0</v>
      </c>
      <c r="L170" s="1">
        <v>4.9000000000000004</v>
      </c>
      <c r="M170" s="1">
        <v>739831.73</v>
      </c>
      <c r="N170" s="1">
        <v>119490.21</v>
      </c>
    </row>
    <row r="171" spans="1:14">
      <c r="A171" s="1" t="s">
        <v>64</v>
      </c>
      <c r="B171" s="3">
        <v>45689</v>
      </c>
      <c r="C171" s="1" t="s">
        <v>15</v>
      </c>
      <c r="D171" s="1" t="s">
        <v>16</v>
      </c>
      <c r="E171" s="1">
        <v>32834.480000000003</v>
      </c>
      <c r="F171" s="1">
        <v>7576</v>
      </c>
      <c r="G171" s="1">
        <v>9.9000000000000005E-2</v>
      </c>
      <c r="H171" s="1">
        <v>15</v>
      </c>
      <c r="I171" s="1">
        <v>84.1</v>
      </c>
      <c r="J171" s="1">
        <v>3.48</v>
      </c>
      <c r="K171" s="1">
        <v>0</v>
      </c>
      <c r="L171" s="1">
        <v>5</v>
      </c>
      <c r="M171" s="1">
        <v>593637.14</v>
      </c>
      <c r="N171" s="1">
        <v>106648.14</v>
      </c>
    </row>
    <row r="172" spans="1:14">
      <c r="A172" s="1" t="s">
        <v>64</v>
      </c>
      <c r="B172" s="3">
        <v>45717</v>
      </c>
      <c r="C172" s="1" t="s">
        <v>15</v>
      </c>
      <c r="D172" s="1" t="s">
        <v>16</v>
      </c>
      <c r="E172" s="1">
        <v>50825.08</v>
      </c>
      <c r="F172" s="1">
        <v>8949</v>
      </c>
      <c r="G172" s="1">
        <v>0.157</v>
      </c>
      <c r="H172" s="1">
        <v>21</v>
      </c>
      <c r="I172" s="1">
        <v>84.7</v>
      </c>
      <c r="J172" s="1">
        <v>7.73</v>
      </c>
      <c r="K172" s="1">
        <v>0</v>
      </c>
      <c r="L172" s="1">
        <v>4.9000000000000004</v>
      </c>
      <c r="M172" s="1">
        <v>769702.76</v>
      </c>
      <c r="N172" s="1">
        <v>158697</v>
      </c>
    </row>
    <row r="173" spans="1:14">
      <c r="A173" s="1" t="s">
        <v>64</v>
      </c>
      <c r="B173" s="3">
        <v>45748</v>
      </c>
      <c r="C173" s="1" t="s">
        <v>15</v>
      </c>
      <c r="D173" s="1" t="s">
        <v>16</v>
      </c>
      <c r="E173" s="1">
        <v>36606.51</v>
      </c>
      <c r="F173" s="1">
        <v>7671</v>
      </c>
      <c r="G173" s="1">
        <v>0.11799999999999999</v>
      </c>
      <c r="H173" s="1">
        <v>18</v>
      </c>
      <c r="I173" s="1">
        <v>89.8</v>
      </c>
      <c r="J173" s="1">
        <v>0.25</v>
      </c>
      <c r="K173" s="1">
        <v>0</v>
      </c>
      <c r="L173" s="1">
        <v>4.4000000000000004</v>
      </c>
      <c r="M173" s="1">
        <v>679731.57</v>
      </c>
      <c r="N173" s="1">
        <v>121546.42</v>
      </c>
    </row>
    <row r="174" spans="1:14">
      <c r="A174" s="1" t="s">
        <v>65</v>
      </c>
      <c r="B174" s="3">
        <v>45658</v>
      </c>
      <c r="C174" s="1" t="s">
        <v>15</v>
      </c>
      <c r="D174" s="1" t="s">
        <v>16</v>
      </c>
      <c r="E174" s="1">
        <v>65237.79</v>
      </c>
      <c r="F174" s="1">
        <v>8741</v>
      </c>
      <c r="G174" s="1">
        <v>0.157</v>
      </c>
      <c r="H174" s="1">
        <v>20</v>
      </c>
      <c r="I174" s="1">
        <v>94.4</v>
      </c>
      <c r="J174" s="1">
        <v>6.43</v>
      </c>
      <c r="K174" s="1">
        <v>0</v>
      </c>
      <c r="L174" s="1">
        <v>3.3</v>
      </c>
      <c r="M174" s="1">
        <v>780344.18</v>
      </c>
      <c r="N174" s="1">
        <v>118239.09</v>
      </c>
    </row>
    <row r="175" spans="1:14">
      <c r="A175" s="1" t="s">
        <v>65</v>
      </c>
      <c r="B175" s="3">
        <v>45689</v>
      </c>
      <c r="C175" s="1" t="s">
        <v>15</v>
      </c>
      <c r="D175" s="1" t="s">
        <v>16</v>
      </c>
      <c r="E175" s="1">
        <v>43645.98</v>
      </c>
      <c r="F175" s="1">
        <v>9480</v>
      </c>
      <c r="G175" s="1">
        <v>0.109</v>
      </c>
      <c r="H175" s="1">
        <v>22</v>
      </c>
      <c r="I175" s="1">
        <v>89</v>
      </c>
      <c r="J175" s="1">
        <v>2.11</v>
      </c>
      <c r="K175" s="1">
        <v>0</v>
      </c>
      <c r="L175" s="1">
        <v>3.1</v>
      </c>
      <c r="M175" s="1">
        <v>721364.11</v>
      </c>
      <c r="N175" s="1">
        <v>147272.81</v>
      </c>
    </row>
    <row r="176" spans="1:14">
      <c r="A176" s="1" t="s">
        <v>65</v>
      </c>
      <c r="B176" s="3">
        <v>45717</v>
      </c>
      <c r="C176" s="1" t="s">
        <v>15</v>
      </c>
      <c r="D176" s="1" t="s">
        <v>16</v>
      </c>
      <c r="E176" s="1">
        <v>68040.149999999994</v>
      </c>
      <c r="F176" s="1">
        <v>9826</v>
      </c>
      <c r="G176" s="1">
        <v>0.125</v>
      </c>
      <c r="H176" s="1">
        <v>20</v>
      </c>
      <c r="I176" s="1">
        <v>83.9</v>
      </c>
      <c r="J176" s="1">
        <v>9.1199999999999992</v>
      </c>
      <c r="K176" s="1">
        <v>0</v>
      </c>
      <c r="L176" s="1">
        <v>3.6</v>
      </c>
      <c r="M176" s="1">
        <v>758138.29</v>
      </c>
      <c r="N176" s="1">
        <v>132975.26</v>
      </c>
    </row>
    <row r="177" spans="1:14">
      <c r="A177" s="1" t="s">
        <v>65</v>
      </c>
      <c r="B177" s="3">
        <v>45748</v>
      </c>
      <c r="C177" s="1" t="s">
        <v>15</v>
      </c>
      <c r="D177" s="1" t="s">
        <v>16</v>
      </c>
      <c r="E177" s="1">
        <v>63043.94</v>
      </c>
      <c r="F177" s="1">
        <v>10402</v>
      </c>
      <c r="G177" s="1">
        <v>0.159</v>
      </c>
      <c r="H177" s="1">
        <v>23</v>
      </c>
      <c r="I177" s="1">
        <v>93.9</v>
      </c>
      <c r="J177" s="1">
        <v>2.71</v>
      </c>
      <c r="K177" s="1">
        <v>0</v>
      </c>
      <c r="L177" s="1">
        <v>3.1</v>
      </c>
      <c r="M177" s="1">
        <v>804264</v>
      </c>
      <c r="N177" s="1">
        <v>167117.91</v>
      </c>
    </row>
    <row r="178" spans="1:14">
      <c r="A178" s="1" t="s">
        <v>66</v>
      </c>
      <c r="B178" s="3">
        <v>45658</v>
      </c>
      <c r="C178" s="1" t="s">
        <v>27</v>
      </c>
      <c r="D178" s="1" t="s">
        <v>21</v>
      </c>
      <c r="E178" s="1">
        <v>67494.09</v>
      </c>
      <c r="F178" s="1">
        <v>12361</v>
      </c>
      <c r="G178" s="1">
        <v>4.5999999999999999E-2</v>
      </c>
      <c r="H178" s="1">
        <v>24</v>
      </c>
      <c r="I178" s="1">
        <v>76.599999999999994</v>
      </c>
      <c r="J178" s="1">
        <v>3.65</v>
      </c>
      <c r="K178" s="1">
        <v>1</v>
      </c>
      <c r="L178" s="1">
        <v>3.7</v>
      </c>
      <c r="M178" s="1">
        <v>887537.75</v>
      </c>
      <c r="N178" s="1">
        <v>160362.92000000001</v>
      </c>
    </row>
    <row r="179" spans="1:14">
      <c r="A179" s="1" t="s">
        <v>66</v>
      </c>
      <c r="B179" s="3">
        <v>45689</v>
      </c>
      <c r="C179" s="1" t="s">
        <v>27</v>
      </c>
      <c r="D179" s="1" t="s">
        <v>21</v>
      </c>
      <c r="E179" s="1">
        <v>29389.32</v>
      </c>
      <c r="F179" s="1">
        <v>7925</v>
      </c>
      <c r="G179" s="1">
        <v>0.17699999999999999</v>
      </c>
      <c r="H179" s="1">
        <v>21</v>
      </c>
      <c r="I179" s="1">
        <v>90.9</v>
      </c>
      <c r="J179" s="1">
        <v>7.86</v>
      </c>
      <c r="K179" s="1">
        <v>0</v>
      </c>
      <c r="L179" s="1">
        <v>4</v>
      </c>
      <c r="M179" s="1">
        <v>783582</v>
      </c>
      <c r="N179" s="1">
        <v>130670.93</v>
      </c>
    </row>
    <row r="180" spans="1:14">
      <c r="A180" s="1" t="s">
        <v>66</v>
      </c>
      <c r="B180" s="3">
        <v>45717</v>
      </c>
      <c r="C180" s="1" t="s">
        <v>27</v>
      </c>
      <c r="D180" s="1" t="s">
        <v>21</v>
      </c>
      <c r="E180" s="1">
        <v>40535.089999999997</v>
      </c>
      <c r="F180" s="1">
        <v>8870</v>
      </c>
      <c r="G180" s="1">
        <v>4.1000000000000002E-2</v>
      </c>
      <c r="H180" s="1">
        <v>21</v>
      </c>
      <c r="I180" s="1">
        <v>86.6</v>
      </c>
      <c r="J180" s="1">
        <v>0.3</v>
      </c>
      <c r="K180" s="1">
        <v>0</v>
      </c>
      <c r="L180" s="1">
        <v>4.0999999999999996</v>
      </c>
      <c r="M180" s="1">
        <v>781955.52</v>
      </c>
      <c r="N180" s="1">
        <v>152578.71</v>
      </c>
    </row>
    <row r="181" spans="1:14">
      <c r="A181" s="1" t="s">
        <v>66</v>
      </c>
      <c r="B181" s="3">
        <v>45748</v>
      </c>
      <c r="C181" s="1" t="s">
        <v>27</v>
      </c>
      <c r="D181" s="1" t="s">
        <v>21</v>
      </c>
      <c r="E181" s="1">
        <v>74881.56</v>
      </c>
      <c r="F181" s="1">
        <v>9999</v>
      </c>
      <c r="G181" s="1">
        <v>1.2999999999999999E-2</v>
      </c>
      <c r="H181" s="1">
        <v>20</v>
      </c>
      <c r="I181" s="1">
        <v>89.6</v>
      </c>
      <c r="J181" s="1">
        <v>8.44</v>
      </c>
      <c r="K181" s="1">
        <v>0</v>
      </c>
      <c r="L181" s="1">
        <v>4.0999999999999996</v>
      </c>
      <c r="M181" s="1">
        <v>898031.04</v>
      </c>
      <c r="N181" s="1">
        <v>138666.5</v>
      </c>
    </row>
    <row r="182" spans="1:14">
      <c r="A182" s="1" t="s">
        <v>67</v>
      </c>
      <c r="B182" s="3">
        <v>45658</v>
      </c>
      <c r="C182" s="1" t="s">
        <v>27</v>
      </c>
      <c r="D182" s="1" t="s">
        <v>16</v>
      </c>
      <c r="E182" s="1">
        <v>68491.11</v>
      </c>
      <c r="F182" s="1">
        <v>11154</v>
      </c>
      <c r="G182" s="1">
        <v>1E-3</v>
      </c>
      <c r="H182" s="1">
        <v>24</v>
      </c>
      <c r="I182" s="1">
        <v>89.4</v>
      </c>
      <c r="J182" s="1">
        <v>5.27</v>
      </c>
      <c r="K182" s="1">
        <v>1</v>
      </c>
      <c r="L182" s="1">
        <v>3.9</v>
      </c>
      <c r="M182" s="1">
        <v>855341.28</v>
      </c>
      <c r="N182" s="1">
        <v>175823.8</v>
      </c>
    </row>
    <row r="183" spans="1:14">
      <c r="A183" s="1" t="s">
        <v>67</v>
      </c>
      <c r="B183" s="3">
        <v>45689</v>
      </c>
      <c r="C183" s="1" t="s">
        <v>27</v>
      </c>
      <c r="D183" s="1" t="s">
        <v>16</v>
      </c>
      <c r="E183" s="1">
        <v>45209.25</v>
      </c>
      <c r="F183" s="1">
        <v>9287</v>
      </c>
      <c r="G183" s="1">
        <v>0.14099999999999999</v>
      </c>
      <c r="H183" s="1">
        <v>22</v>
      </c>
      <c r="I183" s="1">
        <v>86.4</v>
      </c>
      <c r="J183" s="1">
        <v>13.22</v>
      </c>
      <c r="K183" s="1">
        <v>0</v>
      </c>
      <c r="L183" s="1">
        <v>3.6</v>
      </c>
      <c r="M183" s="1">
        <v>751393.88</v>
      </c>
      <c r="N183" s="1">
        <v>91480.320000000007</v>
      </c>
    </row>
    <row r="184" spans="1:14">
      <c r="A184" s="1" t="s">
        <v>67</v>
      </c>
      <c r="B184" s="3">
        <v>45717</v>
      </c>
      <c r="C184" s="1" t="s">
        <v>27</v>
      </c>
      <c r="D184" s="1" t="s">
        <v>16</v>
      </c>
      <c r="E184" s="1">
        <v>63010.23</v>
      </c>
      <c r="F184" s="1">
        <v>9812</v>
      </c>
      <c r="G184" s="1">
        <v>0.113</v>
      </c>
      <c r="H184" s="1">
        <v>24</v>
      </c>
      <c r="I184" s="1">
        <v>76.8</v>
      </c>
      <c r="J184" s="1">
        <v>1.02</v>
      </c>
      <c r="K184" s="1">
        <v>1</v>
      </c>
      <c r="L184" s="1">
        <v>3.8</v>
      </c>
      <c r="M184" s="1">
        <v>761077.08</v>
      </c>
      <c r="N184" s="1">
        <v>113605.93</v>
      </c>
    </row>
    <row r="185" spans="1:14">
      <c r="A185" s="1" t="s">
        <v>67</v>
      </c>
      <c r="B185" s="3">
        <v>45748</v>
      </c>
      <c r="C185" s="1" t="s">
        <v>27</v>
      </c>
      <c r="D185" s="1" t="s">
        <v>16</v>
      </c>
      <c r="E185" s="1">
        <v>57948.88</v>
      </c>
      <c r="F185" s="1">
        <v>10741</v>
      </c>
      <c r="G185" s="1">
        <v>7.0000000000000007E-2</v>
      </c>
      <c r="H185" s="1">
        <v>25</v>
      </c>
      <c r="I185" s="1">
        <v>90.1</v>
      </c>
      <c r="J185" s="1">
        <v>4.03</v>
      </c>
      <c r="K185" s="1">
        <v>0</v>
      </c>
      <c r="L185" s="1">
        <v>3.1</v>
      </c>
      <c r="M185" s="1">
        <v>819660.59</v>
      </c>
      <c r="N185" s="1">
        <v>172699.95</v>
      </c>
    </row>
    <row r="186" spans="1:14">
      <c r="A186" s="1" t="s">
        <v>68</v>
      </c>
      <c r="B186" s="3">
        <v>45658</v>
      </c>
      <c r="C186" s="1" t="s">
        <v>20</v>
      </c>
      <c r="D186" s="1" t="s">
        <v>18</v>
      </c>
      <c r="E186" s="1">
        <v>71941.62</v>
      </c>
      <c r="F186" s="1">
        <v>6084</v>
      </c>
      <c r="G186" s="1">
        <v>7.1999999999999995E-2</v>
      </c>
      <c r="H186" s="1">
        <v>13</v>
      </c>
      <c r="I186" s="1">
        <v>93.7</v>
      </c>
      <c r="J186" s="1">
        <v>2.34</v>
      </c>
      <c r="K186" s="1">
        <v>0</v>
      </c>
      <c r="L186" s="1">
        <v>4.4000000000000004</v>
      </c>
      <c r="M186" s="1">
        <v>681855.56</v>
      </c>
      <c r="N186" s="1">
        <v>117645.61</v>
      </c>
    </row>
    <row r="187" spans="1:14">
      <c r="A187" s="1" t="s">
        <v>68</v>
      </c>
      <c r="B187" s="3">
        <v>45689</v>
      </c>
      <c r="C187" s="1" t="s">
        <v>20</v>
      </c>
      <c r="D187" s="1" t="s">
        <v>18</v>
      </c>
      <c r="E187" s="1">
        <v>57147.88</v>
      </c>
      <c r="F187" s="1">
        <v>5252</v>
      </c>
      <c r="G187" s="1">
        <v>0.161</v>
      </c>
      <c r="H187" s="1">
        <v>15</v>
      </c>
      <c r="I187" s="1">
        <v>95.5</v>
      </c>
      <c r="J187" s="1">
        <v>8.51</v>
      </c>
      <c r="K187" s="1">
        <v>0</v>
      </c>
      <c r="L187" s="1">
        <v>4.4000000000000004</v>
      </c>
      <c r="M187" s="1">
        <v>678311.17</v>
      </c>
      <c r="N187" s="1">
        <v>132029.76000000001</v>
      </c>
    </row>
    <row r="188" spans="1:14">
      <c r="A188" s="1" t="s">
        <v>68</v>
      </c>
      <c r="B188" s="3">
        <v>45717</v>
      </c>
      <c r="C188" s="1" t="s">
        <v>20</v>
      </c>
      <c r="D188" s="1" t="s">
        <v>18</v>
      </c>
      <c r="E188" s="1">
        <v>48031.74</v>
      </c>
      <c r="F188" s="1">
        <v>6516</v>
      </c>
      <c r="G188" s="1">
        <v>6.7000000000000004E-2</v>
      </c>
      <c r="H188" s="1">
        <v>14</v>
      </c>
      <c r="I188" s="1">
        <v>99</v>
      </c>
      <c r="J188" s="1">
        <v>0.48</v>
      </c>
      <c r="K188" s="1">
        <v>1</v>
      </c>
      <c r="L188" s="1">
        <v>4.3</v>
      </c>
      <c r="M188" s="1">
        <v>765906.95</v>
      </c>
      <c r="N188" s="1">
        <v>114005.9</v>
      </c>
    </row>
    <row r="189" spans="1:14">
      <c r="A189" s="1" t="s">
        <v>68</v>
      </c>
      <c r="B189" s="3">
        <v>45748</v>
      </c>
      <c r="C189" s="1" t="s">
        <v>20</v>
      </c>
      <c r="D189" s="1" t="s">
        <v>18</v>
      </c>
      <c r="E189" s="1">
        <v>72784.800000000003</v>
      </c>
      <c r="F189" s="1">
        <v>7932</v>
      </c>
      <c r="G189" s="1">
        <v>9.4E-2</v>
      </c>
      <c r="H189" s="1">
        <v>20</v>
      </c>
      <c r="I189" s="1">
        <v>74.900000000000006</v>
      </c>
      <c r="J189" s="1">
        <v>13.62</v>
      </c>
      <c r="K189" s="1">
        <v>0</v>
      </c>
      <c r="L189" s="1">
        <v>4.2</v>
      </c>
      <c r="M189" s="1">
        <v>712546.38</v>
      </c>
      <c r="N189" s="1">
        <v>101480.04</v>
      </c>
    </row>
    <row r="190" spans="1:14">
      <c r="A190" s="1" t="s">
        <v>69</v>
      </c>
      <c r="B190" s="3">
        <v>45658</v>
      </c>
      <c r="C190" s="1" t="s">
        <v>15</v>
      </c>
      <c r="D190" s="1" t="s">
        <v>18</v>
      </c>
      <c r="E190" s="1">
        <v>71641.899999999994</v>
      </c>
      <c r="F190" s="1">
        <v>3506</v>
      </c>
      <c r="G190" s="1">
        <v>0</v>
      </c>
      <c r="H190" s="1">
        <v>11</v>
      </c>
      <c r="I190" s="1">
        <v>86.4</v>
      </c>
      <c r="J190" s="1">
        <v>7.77</v>
      </c>
      <c r="K190" s="1">
        <v>0</v>
      </c>
      <c r="L190" s="1">
        <v>4.0999999999999996</v>
      </c>
      <c r="M190" s="1">
        <v>625993.82999999996</v>
      </c>
      <c r="N190" s="1">
        <v>98960.320000000007</v>
      </c>
    </row>
    <row r="191" spans="1:14">
      <c r="A191" s="1" t="s">
        <v>69</v>
      </c>
      <c r="B191" s="3">
        <v>45689</v>
      </c>
      <c r="C191" s="1" t="s">
        <v>15</v>
      </c>
      <c r="D191" s="1" t="s">
        <v>18</v>
      </c>
      <c r="E191" s="1">
        <v>55788.61</v>
      </c>
      <c r="F191" s="1">
        <v>2312</v>
      </c>
      <c r="G191" s="1">
        <v>5.8000000000000003E-2</v>
      </c>
      <c r="H191" s="1">
        <v>10</v>
      </c>
      <c r="I191" s="1">
        <v>91.3</v>
      </c>
      <c r="J191" s="1">
        <v>1.99</v>
      </c>
      <c r="K191" s="1">
        <v>0</v>
      </c>
      <c r="L191" s="1">
        <v>3.8</v>
      </c>
      <c r="M191" s="1">
        <v>550962.93000000005</v>
      </c>
      <c r="N191" s="1">
        <v>97144.58</v>
      </c>
    </row>
    <row r="192" spans="1:14">
      <c r="A192" s="1" t="s">
        <v>69</v>
      </c>
      <c r="B192" s="3">
        <v>45717</v>
      </c>
      <c r="C192" s="1" t="s">
        <v>15</v>
      </c>
      <c r="D192" s="1" t="s">
        <v>18</v>
      </c>
      <c r="E192" s="1">
        <v>37705.879999999997</v>
      </c>
      <c r="F192" s="1">
        <v>1268</v>
      </c>
      <c r="G192" s="1">
        <v>0.25900000000000001</v>
      </c>
      <c r="H192" s="1">
        <v>9</v>
      </c>
      <c r="I192" s="1">
        <v>84.1</v>
      </c>
      <c r="J192" s="1">
        <v>4.7699999999999996</v>
      </c>
      <c r="K192" s="1">
        <v>0</v>
      </c>
      <c r="L192" s="1">
        <v>3.8</v>
      </c>
      <c r="M192" s="1">
        <v>443275.59</v>
      </c>
      <c r="N192" s="1">
        <v>53544.36</v>
      </c>
    </row>
    <row r="193" spans="1:14">
      <c r="A193" s="1" t="s">
        <v>69</v>
      </c>
      <c r="B193" s="3">
        <v>45748</v>
      </c>
      <c r="C193" s="1" t="s">
        <v>15</v>
      </c>
      <c r="D193" s="1" t="s">
        <v>18</v>
      </c>
      <c r="E193" s="1">
        <v>54966.18</v>
      </c>
      <c r="F193" s="1">
        <v>4423</v>
      </c>
      <c r="G193" s="1">
        <v>0.186</v>
      </c>
      <c r="H193" s="1">
        <v>13</v>
      </c>
      <c r="I193" s="1">
        <v>88.7</v>
      </c>
      <c r="J193" s="1">
        <v>0.2</v>
      </c>
      <c r="K193" s="1">
        <v>0</v>
      </c>
      <c r="L193" s="1">
        <v>4.4000000000000004</v>
      </c>
      <c r="M193" s="1">
        <v>554012.06999999995</v>
      </c>
      <c r="N193" s="1">
        <v>81101.62</v>
      </c>
    </row>
    <row r="194" spans="1:14">
      <c r="A194" s="1" t="s">
        <v>70</v>
      </c>
      <c r="B194" s="3">
        <v>45658</v>
      </c>
      <c r="C194" s="1" t="s">
        <v>27</v>
      </c>
      <c r="D194" s="1" t="s">
        <v>16</v>
      </c>
      <c r="E194" s="1">
        <v>81796.740000000005</v>
      </c>
      <c r="F194" s="1">
        <v>6177</v>
      </c>
      <c r="G194" s="1">
        <v>0.16400000000000001</v>
      </c>
      <c r="H194" s="1">
        <v>14</v>
      </c>
      <c r="I194" s="1">
        <v>87.9</v>
      </c>
      <c r="J194" s="1">
        <v>0.53</v>
      </c>
      <c r="K194" s="1">
        <v>0</v>
      </c>
      <c r="L194" s="1">
        <v>3.2</v>
      </c>
      <c r="M194" s="1">
        <v>643428.85</v>
      </c>
      <c r="N194" s="1">
        <v>94477.63</v>
      </c>
    </row>
    <row r="195" spans="1:14">
      <c r="A195" s="1" t="s">
        <v>70</v>
      </c>
      <c r="B195" s="3">
        <v>45689</v>
      </c>
      <c r="C195" s="1" t="s">
        <v>27</v>
      </c>
      <c r="D195" s="1" t="s">
        <v>16</v>
      </c>
      <c r="E195" s="1">
        <v>51133.43</v>
      </c>
      <c r="F195" s="1">
        <v>5150</v>
      </c>
      <c r="G195" s="1">
        <v>0.15</v>
      </c>
      <c r="H195" s="1">
        <v>12</v>
      </c>
      <c r="I195" s="1">
        <v>88.5</v>
      </c>
      <c r="J195" s="1">
        <v>1.54</v>
      </c>
      <c r="K195" s="1">
        <v>0</v>
      </c>
      <c r="L195" s="1">
        <v>3.2</v>
      </c>
      <c r="M195" s="1">
        <v>611924.27</v>
      </c>
      <c r="N195" s="1">
        <v>115488.75</v>
      </c>
    </row>
    <row r="196" spans="1:14">
      <c r="A196" s="1" t="s">
        <v>70</v>
      </c>
      <c r="B196" s="3">
        <v>45717</v>
      </c>
      <c r="C196" s="1" t="s">
        <v>27</v>
      </c>
      <c r="D196" s="1" t="s">
        <v>16</v>
      </c>
      <c r="E196" s="1">
        <v>40220.18</v>
      </c>
      <c r="F196" s="1">
        <v>3783</v>
      </c>
      <c r="G196" s="1">
        <v>8.8999999999999996E-2</v>
      </c>
      <c r="H196" s="1">
        <v>14</v>
      </c>
      <c r="I196" s="1">
        <v>86.6</v>
      </c>
      <c r="J196" s="1">
        <v>3.63</v>
      </c>
      <c r="K196" s="1">
        <v>0</v>
      </c>
      <c r="L196" s="1">
        <v>3.7</v>
      </c>
      <c r="M196" s="1">
        <v>559422.02</v>
      </c>
      <c r="N196" s="1">
        <v>73528.740000000005</v>
      </c>
    </row>
    <row r="197" spans="1:14">
      <c r="A197" s="1" t="s">
        <v>70</v>
      </c>
      <c r="B197" s="3">
        <v>45748</v>
      </c>
      <c r="C197" s="1" t="s">
        <v>27</v>
      </c>
      <c r="D197" s="1" t="s">
        <v>16</v>
      </c>
      <c r="E197" s="1">
        <v>41657.64</v>
      </c>
      <c r="F197" s="1">
        <v>3135</v>
      </c>
      <c r="G197" s="1">
        <v>0.22900000000000001</v>
      </c>
      <c r="H197" s="1">
        <v>7</v>
      </c>
      <c r="I197" s="1">
        <v>85.4</v>
      </c>
      <c r="J197" s="1">
        <v>13.48</v>
      </c>
      <c r="K197" s="1">
        <v>0</v>
      </c>
      <c r="L197" s="1"/>
      <c r="M197" s="1">
        <v>449465.06</v>
      </c>
      <c r="N197" s="1">
        <v>65694.78</v>
      </c>
    </row>
    <row r="198" spans="1:14">
      <c r="A198" s="1" t="s">
        <v>71</v>
      </c>
      <c r="B198" s="3">
        <v>45658</v>
      </c>
      <c r="C198" s="1" t="s">
        <v>20</v>
      </c>
      <c r="D198" s="1" t="s">
        <v>16</v>
      </c>
      <c r="E198" s="1">
        <v>71851.45</v>
      </c>
      <c r="F198" s="1">
        <v>4970</v>
      </c>
      <c r="G198" s="1">
        <v>9.8000000000000004E-2</v>
      </c>
      <c r="H198" s="1">
        <v>11</v>
      </c>
      <c r="I198" s="1">
        <v>89.6</v>
      </c>
      <c r="J198" s="1">
        <v>0.2</v>
      </c>
      <c r="K198" s="1">
        <v>0</v>
      </c>
      <c r="L198" s="1">
        <v>4.2</v>
      </c>
      <c r="M198" s="1">
        <v>691447.43</v>
      </c>
      <c r="N198" s="1">
        <v>114077.69</v>
      </c>
    </row>
    <row r="199" spans="1:14">
      <c r="A199" s="1" t="s">
        <v>71</v>
      </c>
      <c r="B199" s="3">
        <v>45689</v>
      </c>
      <c r="C199" s="1" t="s">
        <v>20</v>
      </c>
      <c r="D199" s="1" t="s">
        <v>16</v>
      </c>
      <c r="E199" s="1">
        <v>54002.83</v>
      </c>
      <c r="F199" s="1">
        <v>4366</v>
      </c>
      <c r="G199" s="1">
        <v>2.7E-2</v>
      </c>
      <c r="H199" s="1">
        <v>15</v>
      </c>
      <c r="I199" s="1">
        <v>90.6</v>
      </c>
      <c r="J199" s="1">
        <v>12.82</v>
      </c>
      <c r="K199" s="1">
        <v>0</v>
      </c>
      <c r="L199" s="1">
        <v>4.5999999999999996</v>
      </c>
      <c r="M199" s="1">
        <v>574066.61</v>
      </c>
      <c r="N199" s="1">
        <v>124674.67</v>
      </c>
    </row>
    <row r="200" spans="1:14">
      <c r="A200" s="1" t="s">
        <v>71</v>
      </c>
      <c r="B200" s="3">
        <v>45717</v>
      </c>
      <c r="C200" s="1" t="s">
        <v>20</v>
      </c>
      <c r="D200" s="1" t="s">
        <v>16</v>
      </c>
      <c r="E200" s="1">
        <v>54479.33</v>
      </c>
      <c r="F200" s="1">
        <v>5012</v>
      </c>
      <c r="G200" s="1">
        <v>0.28399999999999997</v>
      </c>
      <c r="H200" s="1">
        <v>13</v>
      </c>
      <c r="I200" s="1">
        <v>86</v>
      </c>
      <c r="J200" s="1">
        <v>2.2400000000000002</v>
      </c>
      <c r="K200" s="1">
        <v>1</v>
      </c>
      <c r="L200" s="1">
        <v>4.3</v>
      </c>
      <c r="M200" s="1">
        <v>578949.84</v>
      </c>
      <c r="N200" s="1">
        <v>80253.649999999994</v>
      </c>
    </row>
    <row r="201" spans="1:14">
      <c r="A201" s="1" t="s">
        <v>71</v>
      </c>
      <c r="B201" s="3">
        <v>45748</v>
      </c>
      <c r="C201" s="1" t="s">
        <v>20</v>
      </c>
      <c r="D201" s="1" t="s">
        <v>16</v>
      </c>
      <c r="E201" s="1">
        <v>61391.8</v>
      </c>
      <c r="F201" s="1">
        <v>5575</v>
      </c>
      <c r="G201" s="1">
        <v>0.189</v>
      </c>
      <c r="H201" s="1">
        <v>18</v>
      </c>
      <c r="I201" s="1">
        <v>90</v>
      </c>
      <c r="J201" s="1">
        <v>1.8</v>
      </c>
      <c r="K201" s="1">
        <v>0</v>
      </c>
      <c r="L201" s="1">
        <v>4.8</v>
      </c>
      <c r="M201" s="1">
        <v>735786.64</v>
      </c>
      <c r="N201" s="1">
        <v>126540.66</v>
      </c>
    </row>
    <row r="202" spans="1:14">
      <c r="A202" s="1" t="s">
        <v>72</v>
      </c>
      <c r="B202" s="3">
        <v>45658</v>
      </c>
      <c r="C202" s="1" t="s">
        <v>15</v>
      </c>
      <c r="D202" s="1" t="s">
        <v>21</v>
      </c>
      <c r="E202" s="1">
        <v>22312.93</v>
      </c>
      <c r="F202" s="1">
        <v>5955</v>
      </c>
      <c r="G202" s="1">
        <v>0.123</v>
      </c>
      <c r="H202" s="1">
        <v>13</v>
      </c>
      <c r="I202" s="1">
        <v>84.2</v>
      </c>
      <c r="J202" s="1">
        <v>0.41</v>
      </c>
      <c r="K202" s="1">
        <v>1</v>
      </c>
      <c r="L202" s="1">
        <v>4.5999999999999996</v>
      </c>
      <c r="M202" s="1">
        <v>598904.9</v>
      </c>
      <c r="N202" s="1">
        <v>72861</v>
      </c>
    </row>
    <row r="203" spans="1:14">
      <c r="A203" s="1" t="s">
        <v>72</v>
      </c>
      <c r="B203" s="3">
        <v>45689</v>
      </c>
      <c r="C203" s="1" t="s">
        <v>15</v>
      </c>
      <c r="D203" s="1" t="s">
        <v>21</v>
      </c>
      <c r="E203" s="1">
        <v>78111.97</v>
      </c>
      <c r="F203" s="1">
        <v>6389</v>
      </c>
      <c r="G203" s="1">
        <v>0.15</v>
      </c>
      <c r="H203" s="1">
        <v>13</v>
      </c>
      <c r="I203" s="1">
        <v>83.9</v>
      </c>
      <c r="J203" s="1">
        <v>3.05</v>
      </c>
      <c r="K203" s="1">
        <v>0</v>
      </c>
      <c r="L203" s="1">
        <v>4.8</v>
      </c>
      <c r="M203" s="1">
        <v>787715.51</v>
      </c>
      <c r="N203" s="1">
        <v>128969.62</v>
      </c>
    </row>
    <row r="204" spans="1:14">
      <c r="A204" s="1" t="s">
        <v>72</v>
      </c>
      <c r="B204" s="3">
        <v>45717</v>
      </c>
      <c r="C204" s="1" t="s">
        <v>15</v>
      </c>
      <c r="D204" s="1" t="s">
        <v>21</v>
      </c>
      <c r="E204" s="1">
        <v>35203.230000000003</v>
      </c>
      <c r="F204" s="1">
        <v>6896</v>
      </c>
      <c r="G204" s="1">
        <v>3.2000000000000001E-2</v>
      </c>
      <c r="H204" s="1">
        <v>14</v>
      </c>
      <c r="I204" s="1">
        <v>80.8</v>
      </c>
      <c r="J204" s="1">
        <v>8.44</v>
      </c>
      <c r="K204" s="1">
        <v>1</v>
      </c>
      <c r="L204" s="1">
        <v>5</v>
      </c>
      <c r="M204" s="1">
        <v>607084.92000000004</v>
      </c>
      <c r="N204" s="1">
        <v>98558.49</v>
      </c>
    </row>
    <row r="205" spans="1:14">
      <c r="A205" s="1" t="s">
        <v>72</v>
      </c>
      <c r="B205" s="3">
        <v>45748</v>
      </c>
      <c r="C205" s="1" t="s">
        <v>15</v>
      </c>
      <c r="D205" s="1" t="s">
        <v>21</v>
      </c>
      <c r="E205" s="1">
        <v>64104.28</v>
      </c>
      <c r="F205" s="1">
        <v>6015</v>
      </c>
      <c r="G205" s="1">
        <v>0.127</v>
      </c>
      <c r="H205" s="1">
        <v>15</v>
      </c>
      <c r="I205" s="1">
        <v>88.7</v>
      </c>
      <c r="J205" s="1">
        <v>0.78</v>
      </c>
      <c r="K205" s="1">
        <v>0</v>
      </c>
      <c r="L205" s="1">
        <v>4</v>
      </c>
      <c r="M205" s="1">
        <v>650795.49</v>
      </c>
      <c r="N205" s="1">
        <v>103035.89</v>
      </c>
    </row>
    <row r="206" spans="1:14">
      <c r="A206" s="1" t="s">
        <v>73</v>
      </c>
      <c r="B206" s="3">
        <v>45658</v>
      </c>
      <c r="C206" s="1" t="s">
        <v>15</v>
      </c>
      <c r="D206" s="1" t="s">
        <v>28</v>
      </c>
      <c r="E206" s="1">
        <v>92090.14</v>
      </c>
      <c r="F206" s="1">
        <v>9476</v>
      </c>
      <c r="G206" s="1">
        <v>7.0000000000000007E-2</v>
      </c>
      <c r="H206" s="1">
        <v>24</v>
      </c>
      <c r="I206" s="1">
        <v>94.3</v>
      </c>
      <c r="J206" s="1">
        <v>0.87</v>
      </c>
      <c r="K206" s="1">
        <v>0</v>
      </c>
      <c r="L206" s="1">
        <v>3.7</v>
      </c>
      <c r="M206" s="1">
        <v>825060.52</v>
      </c>
      <c r="N206" s="1">
        <v>143613.15</v>
      </c>
    </row>
    <row r="207" spans="1:14">
      <c r="A207" s="1" t="s">
        <v>73</v>
      </c>
      <c r="B207" s="3">
        <v>45689</v>
      </c>
      <c r="C207" s="1" t="s">
        <v>15</v>
      </c>
      <c r="D207" s="1" t="s">
        <v>28</v>
      </c>
      <c r="E207" s="1">
        <v>54300.87</v>
      </c>
      <c r="F207" s="1">
        <v>7875</v>
      </c>
      <c r="G207" s="1">
        <v>0.107</v>
      </c>
      <c r="H207" s="1">
        <v>19</v>
      </c>
      <c r="I207" s="1">
        <v>94.1</v>
      </c>
      <c r="J207" s="1">
        <v>0.95</v>
      </c>
      <c r="K207" s="1">
        <v>0</v>
      </c>
      <c r="L207" s="1">
        <v>3.7</v>
      </c>
      <c r="M207" s="1">
        <v>795464.47</v>
      </c>
      <c r="N207" s="1">
        <v>161150.51999999999</v>
      </c>
    </row>
    <row r="208" spans="1:14">
      <c r="A208" s="1" t="s">
        <v>73</v>
      </c>
      <c r="B208" s="3">
        <v>45717</v>
      </c>
      <c r="C208" s="1" t="s">
        <v>15</v>
      </c>
      <c r="D208" s="1" t="s">
        <v>28</v>
      </c>
      <c r="E208" s="1">
        <v>37983.35</v>
      </c>
      <c r="F208" s="1">
        <v>9283</v>
      </c>
      <c r="G208" s="1">
        <v>0.14899999999999999</v>
      </c>
      <c r="H208" s="1">
        <v>19</v>
      </c>
      <c r="I208" s="1">
        <v>83.2</v>
      </c>
      <c r="J208" s="1">
        <v>3.82</v>
      </c>
      <c r="K208" s="1">
        <v>0</v>
      </c>
      <c r="L208" s="1">
        <v>3.7</v>
      </c>
      <c r="M208" s="1">
        <v>671868.59</v>
      </c>
      <c r="N208" s="1">
        <v>71003.28</v>
      </c>
    </row>
    <row r="209" spans="1:14">
      <c r="A209" s="1" t="s">
        <v>73</v>
      </c>
      <c r="B209" s="3">
        <v>45748</v>
      </c>
      <c r="C209" s="1" t="s">
        <v>15</v>
      </c>
      <c r="D209" s="1" t="s">
        <v>28</v>
      </c>
      <c r="E209" s="1">
        <v>56413.83</v>
      </c>
      <c r="F209" s="1">
        <v>8303</v>
      </c>
      <c r="G209" s="1">
        <v>0.11600000000000001</v>
      </c>
      <c r="H209" s="1">
        <v>18</v>
      </c>
      <c r="I209" s="1">
        <v>93.6</v>
      </c>
      <c r="J209" s="1">
        <v>2.7</v>
      </c>
      <c r="K209" s="1">
        <v>0</v>
      </c>
      <c r="L209" s="1">
        <v>3.7</v>
      </c>
      <c r="M209" s="1">
        <v>675917.63</v>
      </c>
      <c r="N209" s="1">
        <v>112564.75</v>
      </c>
    </row>
    <row r="210" spans="1:14">
      <c r="A210" s="1" t="s">
        <v>74</v>
      </c>
      <c r="B210" s="3">
        <v>45658</v>
      </c>
      <c r="C210" s="1" t="s">
        <v>15</v>
      </c>
      <c r="D210" s="1" t="s">
        <v>18</v>
      </c>
      <c r="E210" s="1">
        <v>63457.19</v>
      </c>
      <c r="F210" s="1">
        <v>10125</v>
      </c>
      <c r="G210" s="1">
        <v>9.7000000000000003E-2</v>
      </c>
      <c r="H210" s="1">
        <v>24</v>
      </c>
      <c r="I210" s="1">
        <v>87</v>
      </c>
      <c r="J210" s="1">
        <v>3.84</v>
      </c>
      <c r="K210" s="1">
        <v>1</v>
      </c>
      <c r="L210" s="1">
        <v>3.7</v>
      </c>
      <c r="M210" s="1">
        <v>810446.53</v>
      </c>
      <c r="N210" s="1">
        <v>200575.34</v>
      </c>
    </row>
    <row r="211" spans="1:14">
      <c r="A211" s="1" t="s">
        <v>74</v>
      </c>
      <c r="B211" s="3">
        <v>45689</v>
      </c>
      <c r="C211" s="1" t="s">
        <v>15</v>
      </c>
      <c r="D211" s="1" t="s">
        <v>18</v>
      </c>
      <c r="E211" s="1">
        <v>62949.7</v>
      </c>
      <c r="F211" s="1">
        <v>9458</v>
      </c>
      <c r="G211" s="1">
        <v>0.17100000000000001</v>
      </c>
      <c r="H211" s="1">
        <v>19</v>
      </c>
      <c r="I211" s="1">
        <v>84.9</v>
      </c>
      <c r="J211" s="1">
        <v>5.09</v>
      </c>
      <c r="K211" s="1">
        <v>0</v>
      </c>
      <c r="L211" s="1">
        <v>3.3</v>
      </c>
      <c r="M211" s="1">
        <v>691288.19</v>
      </c>
      <c r="N211" s="1">
        <v>159074.14000000001</v>
      </c>
    </row>
    <row r="212" spans="1:14">
      <c r="A212" s="1" t="s">
        <v>74</v>
      </c>
      <c r="B212" s="3">
        <v>45717</v>
      </c>
      <c r="C212" s="1" t="s">
        <v>15</v>
      </c>
      <c r="D212" s="1" t="s">
        <v>18</v>
      </c>
      <c r="E212" s="1">
        <v>107970.19</v>
      </c>
      <c r="F212" s="1">
        <v>12870</v>
      </c>
      <c r="G212" s="1">
        <v>2.9000000000000001E-2</v>
      </c>
      <c r="H212" s="1">
        <v>31</v>
      </c>
      <c r="I212" s="1">
        <v>91.7</v>
      </c>
      <c r="J212" s="1">
        <v>3.82</v>
      </c>
      <c r="K212" s="1">
        <v>1</v>
      </c>
      <c r="L212" s="1">
        <v>3.7</v>
      </c>
      <c r="M212" s="1">
        <v>946833.54</v>
      </c>
      <c r="N212" s="1">
        <v>184540.31</v>
      </c>
    </row>
    <row r="213" spans="1:14">
      <c r="A213" s="1" t="s">
        <v>74</v>
      </c>
      <c r="B213" s="3">
        <v>45748</v>
      </c>
      <c r="C213" s="1" t="s">
        <v>15</v>
      </c>
      <c r="D213" s="1" t="s">
        <v>18</v>
      </c>
      <c r="E213" s="1">
        <v>49405.75</v>
      </c>
      <c r="F213" s="1">
        <v>9752</v>
      </c>
      <c r="G213" s="1">
        <v>9.2999999999999999E-2</v>
      </c>
      <c r="H213" s="1">
        <v>21</v>
      </c>
      <c r="I213" s="1">
        <v>87</v>
      </c>
      <c r="J213" s="1">
        <v>12.28</v>
      </c>
      <c r="K213" s="1">
        <v>0</v>
      </c>
      <c r="L213" s="1">
        <v>4.0999999999999996</v>
      </c>
      <c r="M213" s="1">
        <v>761963.23</v>
      </c>
      <c r="N213" s="1">
        <v>150113.60999999999</v>
      </c>
    </row>
    <row r="214" spans="1:14">
      <c r="A214" s="1" t="s">
        <v>75</v>
      </c>
      <c r="B214" s="3">
        <v>45658</v>
      </c>
      <c r="C214" s="1" t="s">
        <v>27</v>
      </c>
      <c r="D214" s="1" t="s">
        <v>16</v>
      </c>
      <c r="E214" s="1">
        <v>50887.46</v>
      </c>
      <c r="F214" s="1">
        <v>9505</v>
      </c>
      <c r="G214" s="1">
        <v>9.0999999999999998E-2</v>
      </c>
      <c r="H214" s="1">
        <v>25</v>
      </c>
      <c r="I214" s="1">
        <v>89.7</v>
      </c>
      <c r="J214" s="1">
        <v>2.8</v>
      </c>
      <c r="K214" s="1">
        <v>0</v>
      </c>
      <c r="L214" s="1">
        <v>4.3</v>
      </c>
      <c r="M214" s="1">
        <v>812152.6</v>
      </c>
      <c r="N214" s="1">
        <v>138419.43</v>
      </c>
    </row>
    <row r="215" spans="1:14">
      <c r="A215" s="1" t="s">
        <v>75</v>
      </c>
      <c r="B215" s="3">
        <v>45689</v>
      </c>
      <c r="C215" s="1" t="s">
        <v>27</v>
      </c>
      <c r="D215" s="1" t="s">
        <v>16</v>
      </c>
      <c r="E215" s="1">
        <v>41819.449999999997</v>
      </c>
      <c r="F215" s="1">
        <v>9412</v>
      </c>
      <c r="G215" s="1">
        <v>0.15</v>
      </c>
      <c r="H215" s="1">
        <v>22</v>
      </c>
      <c r="I215" s="1">
        <v>91</v>
      </c>
      <c r="J215" s="1">
        <v>3.67</v>
      </c>
      <c r="K215" s="1">
        <v>0</v>
      </c>
      <c r="L215" s="1">
        <v>4.2</v>
      </c>
      <c r="M215" s="1">
        <v>804975.5</v>
      </c>
      <c r="N215" s="1">
        <v>140054.5</v>
      </c>
    </row>
    <row r="216" spans="1:14">
      <c r="A216" s="1" t="s">
        <v>75</v>
      </c>
      <c r="B216" s="3">
        <v>45717</v>
      </c>
      <c r="C216" s="1" t="s">
        <v>27</v>
      </c>
      <c r="D216" s="1" t="s">
        <v>16</v>
      </c>
      <c r="E216" s="1">
        <v>35296.54</v>
      </c>
      <c r="F216" s="1">
        <v>9644</v>
      </c>
      <c r="G216" s="1">
        <v>0</v>
      </c>
      <c r="H216" s="1">
        <v>22</v>
      </c>
      <c r="I216" s="1">
        <v>88</v>
      </c>
      <c r="J216" s="1">
        <v>2.81</v>
      </c>
      <c r="K216" s="1">
        <v>0</v>
      </c>
      <c r="L216" s="1">
        <v>4.7</v>
      </c>
      <c r="M216" s="1">
        <v>752321.72</v>
      </c>
      <c r="N216" s="1">
        <v>137788.51</v>
      </c>
    </row>
    <row r="217" spans="1:14">
      <c r="A217" s="1" t="s">
        <v>75</v>
      </c>
      <c r="B217" s="3">
        <v>45748</v>
      </c>
      <c r="C217" s="1" t="s">
        <v>27</v>
      </c>
      <c r="D217" s="1" t="s">
        <v>16</v>
      </c>
      <c r="E217" s="1">
        <v>47391.09</v>
      </c>
      <c r="F217" s="1">
        <v>11224</v>
      </c>
      <c r="G217" s="1">
        <v>0.14699999999999999</v>
      </c>
      <c r="H217" s="1">
        <v>25</v>
      </c>
      <c r="I217" s="1">
        <v>88.4</v>
      </c>
      <c r="J217" s="1">
        <v>2.44</v>
      </c>
      <c r="K217" s="1">
        <v>0</v>
      </c>
      <c r="L217" s="1">
        <v>4.9000000000000004</v>
      </c>
      <c r="M217" s="1">
        <v>836908.24</v>
      </c>
      <c r="N217" s="1">
        <v>141090.26</v>
      </c>
    </row>
    <row r="218" spans="1:14">
      <c r="A218" s="1" t="s">
        <v>76</v>
      </c>
      <c r="B218" s="3">
        <v>45658</v>
      </c>
      <c r="C218" s="1" t="s">
        <v>20</v>
      </c>
      <c r="D218" s="1" t="s">
        <v>21</v>
      </c>
      <c r="E218" s="1">
        <v>69180.539999999994</v>
      </c>
      <c r="F218" s="1">
        <v>5394</v>
      </c>
      <c r="G218" s="1">
        <v>0.126</v>
      </c>
      <c r="H218" s="1">
        <v>12</v>
      </c>
      <c r="I218" s="1">
        <v>82.9</v>
      </c>
      <c r="J218" s="1">
        <v>3.27</v>
      </c>
      <c r="K218" s="1">
        <v>0</v>
      </c>
      <c r="L218" s="1">
        <v>3.3</v>
      </c>
      <c r="M218" s="1">
        <v>674289.1</v>
      </c>
      <c r="N218" s="1">
        <v>117773.79</v>
      </c>
    </row>
    <row r="219" spans="1:14">
      <c r="A219" s="1" t="s">
        <v>76</v>
      </c>
      <c r="B219" s="3">
        <v>45689</v>
      </c>
      <c r="C219" s="1" t="s">
        <v>20</v>
      </c>
      <c r="D219" s="1" t="s">
        <v>21</v>
      </c>
      <c r="E219" s="1">
        <v>33987.33</v>
      </c>
      <c r="F219" s="1">
        <v>5014</v>
      </c>
      <c r="G219" s="1">
        <v>0.246</v>
      </c>
      <c r="H219" s="1">
        <v>17</v>
      </c>
      <c r="I219" s="1">
        <v>94.3</v>
      </c>
      <c r="J219" s="1">
        <v>10.34</v>
      </c>
      <c r="K219" s="1">
        <v>0</v>
      </c>
      <c r="L219" s="1">
        <v>3.9</v>
      </c>
      <c r="M219" s="1">
        <v>622892.42000000004</v>
      </c>
      <c r="N219" s="1">
        <v>101032.52</v>
      </c>
    </row>
    <row r="220" spans="1:14">
      <c r="A220" s="1" t="s">
        <v>76</v>
      </c>
      <c r="B220" s="3">
        <v>45717</v>
      </c>
      <c r="C220" s="1" t="s">
        <v>20</v>
      </c>
      <c r="D220" s="1" t="s">
        <v>21</v>
      </c>
      <c r="E220" s="1">
        <v>58785.33</v>
      </c>
      <c r="F220" s="1">
        <v>4467</v>
      </c>
      <c r="G220" s="1">
        <v>0.22900000000000001</v>
      </c>
      <c r="H220" s="1">
        <v>14</v>
      </c>
      <c r="I220" s="1">
        <v>90.7</v>
      </c>
      <c r="J220" s="1">
        <v>1.92</v>
      </c>
      <c r="K220" s="1">
        <v>0</v>
      </c>
      <c r="L220" s="1">
        <v>3.7</v>
      </c>
      <c r="M220" s="1">
        <v>673348.56</v>
      </c>
      <c r="N220" s="1">
        <v>69464.59</v>
      </c>
    </row>
    <row r="221" spans="1:14">
      <c r="A221" s="1" t="s">
        <v>76</v>
      </c>
      <c r="B221" s="3">
        <v>45748</v>
      </c>
      <c r="C221" s="1" t="s">
        <v>20</v>
      </c>
      <c r="D221" s="1" t="s">
        <v>21</v>
      </c>
      <c r="E221" s="1">
        <v>16451.849999999999</v>
      </c>
      <c r="F221" s="1">
        <v>4678</v>
      </c>
      <c r="G221" s="1">
        <v>0.13300000000000001</v>
      </c>
      <c r="H221" s="1">
        <v>11</v>
      </c>
      <c r="I221" s="1">
        <v>95.9</v>
      </c>
      <c r="J221" s="1">
        <v>3.1</v>
      </c>
      <c r="K221" s="1">
        <v>0</v>
      </c>
      <c r="L221" s="1">
        <v>3.9</v>
      </c>
      <c r="M221" s="1">
        <v>606278.30000000005</v>
      </c>
      <c r="N221" s="1">
        <v>102213.26</v>
      </c>
    </row>
    <row r="222" spans="1:14">
      <c r="A222" s="1" t="s">
        <v>77</v>
      </c>
      <c r="B222" s="3">
        <v>45658</v>
      </c>
      <c r="C222" s="1" t="s">
        <v>15</v>
      </c>
      <c r="D222" s="1" t="s">
        <v>18</v>
      </c>
      <c r="E222" s="1">
        <v>53367.73</v>
      </c>
      <c r="F222" s="1">
        <v>7291</v>
      </c>
      <c r="G222" s="1">
        <v>0.14599999999999999</v>
      </c>
      <c r="H222" s="1">
        <v>18</v>
      </c>
      <c r="I222" s="1">
        <v>90.6</v>
      </c>
      <c r="J222" s="1">
        <v>6.34</v>
      </c>
      <c r="K222" s="1">
        <v>1</v>
      </c>
      <c r="L222" s="1">
        <v>3.8</v>
      </c>
      <c r="M222" s="1">
        <v>712219.81</v>
      </c>
      <c r="N222" s="1">
        <v>85906.54</v>
      </c>
    </row>
    <row r="223" spans="1:14">
      <c r="A223" s="1" t="s">
        <v>77</v>
      </c>
      <c r="B223" s="3">
        <v>45689</v>
      </c>
      <c r="C223" s="1" t="s">
        <v>15</v>
      </c>
      <c r="D223" s="1" t="s">
        <v>18</v>
      </c>
      <c r="E223" s="1">
        <v>27194.639999999999</v>
      </c>
      <c r="F223" s="1">
        <v>7404</v>
      </c>
      <c r="G223" s="1">
        <v>8.7999999999999995E-2</v>
      </c>
      <c r="H223" s="1">
        <v>18</v>
      </c>
      <c r="I223" s="1">
        <v>90.2</v>
      </c>
      <c r="J223" s="1">
        <v>1.2</v>
      </c>
      <c r="K223" s="1">
        <v>0</v>
      </c>
      <c r="L223" s="1">
        <v>3.4</v>
      </c>
      <c r="M223" s="1">
        <v>672670.54</v>
      </c>
      <c r="N223" s="1">
        <v>132684.18</v>
      </c>
    </row>
    <row r="224" spans="1:14">
      <c r="A224" s="1" t="s">
        <v>77</v>
      </c>
      <c r="B224" s="3">
        <v>45717</v>
      </c>
      <c r="C224" s="1" t="s">
        <v>15</v>
      </c>
      <c r="D224" s="1" t="s">
        <v>18</v>
      </c>
      <c r="E224" s="1">
        <v>66962.740000000005</v>
      </c>
      <c r="F224" s="1">
        <v>7880</v>
      </c>
      <c r="G224" s="1">
        <v>0.11600000000000001</v>
      </c>
      <c r="H224" s="1">
        <v>19</v>
      </c>
      <c r="I224" s="1">
        <v>90.4</v>
      </c>
      <c r="J224" s="1">
        <v>4.5</v>
      </c>
      <c r="K224" s="1">
        <v>0</v>
      </c>
      <c r="L224" s="1">
        <v>3.3</v>
      </c>
      <c r="M224" s="1">
        <v>732667.92</v>
      </c>
      <c r="N224" s="1">
        <v>128654.46</v>
      </c>
    </row>
    <row r="225" spans="1:14">
      <c r="A225" s="1" t="s">
        <v>77</v>
      </c>
      <c r="B225" s="3">
        <v>45748</v>
      </c>
      <c r="C225" s="1" t="s">
        <v>15</v>
      </c>
      <c r="D225" s="1" t="s">
        <v>18</v>
      </c>
      <c r="E225" s="1">
        <v>73540.990000000005</v>
      </c>
      <c r="F225" s="1">
        <v>8773</v>
      </c>
      <c r="G225" s="1">
        <v>3.5000000000000003E-2</v>
      </c>
      <c r="H225" s="1">
        <v>21</v>
      </c>
      <c r="I225" s="1">
        <v>84.4</v>
      </c>
      <c r="J225" s="1">
        <v>6.68</v>
      </c>
      <c r="K225" s="1">
        <v>0</v>
      </c>
      <c r="L225" s="1">
        <v>3.6</v>
      </c>
      <c r="M225" s="1">
        <v>723531.4</v>
      </c>
      <c r="N225" s="1">
        <v>108794.85</v>
      </c>
    </row>
    <row r="226" spans="1:14">
      <c r="A226" s="1" t="s">
        <v>78</v>
      </c>
      <c r="B226" s="3">
        <v>45658</v>
      </c>
      <c r="C226" s="1" t="s">
        <v>15</v>
      </c>
      <c r="D226" s="1" t="s">
        <v>28</v>
      </c>
      <c r="E226" s="1">
        <v>68212.289999999994</v>
      </c>
      <c r="F226" s="1">
        <v>4713</v>
      </c>
      <c r="G226" s="1">
        <v>0.19800000000000001</v>
      </c>
      <c r="H226" s="1">
        <v>15</v>
      </c>
      <c r="I226" s="1">
        <v>82.6</v>
      </c>
      <c r="J226" s="1">
        <v>4.07</v>
      </c>
      <c r="K226" s="1">
        <v>1</v>
      </c>
      <c r="L226" s="1">
        <v>3</v>
      </c>
      <c r="M226" s="1">
        <v>641564.6</v>
      </c>
      <c r="N226" s="1">
        <v>90468.96</v>
      </c>
    </row>
    <row r="227" spans="1:14">
      <c r="A227" s="1" t="s">
        <v>78</v>
      </c>
      <c r="B227" s="3">
        <v>45689</v>
      </c>
      <c r="C227" s="1" t="s">
        <v>15</v>
      </c>
      <c r="D227" s="1" t="s">
        <v>28</v>
      </c>
      <c r="E227" s="1">
        <v>57225.98</v>
      </c>
      <c r="F227" s="1">
        <v>2842</v>
      </c>
      <c r="G227" s="1">
        <v>0.112</v>
      </c>
      <c r="H227" s="1">
        <v>10</v>
      </c>
      <c r="I227" s="1">
        <v>79.5</v>
      </c>
      <c r="J227" s="1">
        <v>5.45</v>
      </c>
      <c r="K227" s="1">
        <v>0</v>
      </c>
      <c r="L227" s="1">
        <v>3.4</v>
      </c>
      <c r="M227" s="1">
        <v>536545.49</v>
      </c>
      <c r="N227" s="1">
        <v>97917.45</v>
      </c>
    </row>
    <row r="228" spans="1:14">
      <c r="A228" s="1" t="s">
        <v>78</v>
      </c>
      <c r="B228" s="3">
        <v>45717</v>
      </c>
      <c r="C228" s="1" t="s">
        <v>15</v>
      </c>
      <c r="D228" s="1" t="s">
        <v>28</v>
      </c>
      <c r="E228" s="1">
        <v>42932.02</v>
      </c>
      <c r="F228" s="1">
        <v>3872</v>
      </c>
      <c r="G228" s="1">
        <v>0.17100000000000001</v>
      </c>
      <c r="H228" s="1">
        <v>12</v>
      </c>
      <c r="I228" s="1">
        <v>83.2</v>
      </c>
      <c r="J228" s="1">
        <v>15.58</v>
      </c>
      <c r="K228" s="1">
        <v>0</v>
      </c>
      <c r="L228" s="1">
        <v>3.3</v>
      </c>
      <c r="M228" s="1">
        <v>527681.56000000006</v>
      </c>
      <c r="N228" s="1">
        <v>63153.05</v>
      </c>
    </row>
    <row r="229" spans="1:14">
      <c r="A229" s="1" t="s">
        <v>78</v>
      </c>
      <c r="B229" s="3">
        <v>45748</v>
      </c>
      <c r="C229" s="1" t="s">
        <v>15</v>
      </c>
      <c r="D229" s="1" t="s">
        <v>28</v>
      </c>
      <c r="E229" s="1">
        <v>39341.449999999997</v>
      </c>
      <c r="F229" s="1">
        <v>1375</v>
      </c>
      <c r="G229" s="1">
        <v>9.2999999999999999E-2</v>
      </c>
      <c r="H229" s="1">
        <v>5</v>
      </c>
      <c r="I229" s="1">
        <v>95</v>
      </c>
      <c r="J229" s="1">
        <v>5.32</v>
      </c>
      <c r="K229" s="1">
        <v>0</v>
      </c>
      <c r="L229" s="1"/>
      <c r="M229" s="1">
        <v>529598.93999999994</v>
      </c>
      <c r="N229" s="1">
        <v>84334.33</v>
      </c>
    </row>
    <row r="230" spans="1:14">
      <c r="A230" s="1" t="s">
        <v>79</v>
      </c>
      <c r="B230" s="3">
        <v>45658</v>
      </c>
      <c r="C230" s="1" t="s">
        <v>15</v>
      </c>
      <c r="D230" s="1" t="s">
        <v>18</v>
      </c>
      <c r="E230" s="1">
        <v>37324.230000000003</v>
      </c>
      <c r="F230" s="1">
        <v>5957</v>
      </c>
      <c r="G230" s="1">
        <v>7.0999999999999994E-2</v>
      </c>
      <c r="H230" s="1">
        <v>12</v>
      </c>
      <c r="I230" s="1">
        <v>85.9</v>
      </c>
      <c r="J230" s="1">
        <v>0.37</v>
      </c>
      <c r="K230" s="1">
        <v>0</v>
      </c>
      <c r="L230" s="1">
        <v>3.8</v>
      </c>
      <c r="M230" s="1">
        <v>570963.31000000006</v>
      </c>
      <c r="N230" s="1">
        <v>87342.25</v>
      </c>
    </row>
    <row r="231" spans="1:14">
      <c r="A231" s="1" t="s">
        <v>79</v>
      </c>
      <c r="B231" s="3">
        <v>45689</v>
      </c>
      <c r="C231" s="1" t="s">
        <v>15</v>
      </c>
      <c r="D231" s="1" t="s">
        <v>18</v>
      </c>
      <c r="E231" s="1">
        <v>113736</v>
      </c>
      <c r="F231" s="1">
        <v>8961</v>
      </c>
      <c r="G231" s="1">
        <v>0.20200000000000001</v>
      </c>
      <c r="H231" s="1">
        <v>24</v>
      </c>
      <c r="I231" s="1">
        <v>86.2</v>
      </c>
      <c r="J231" s="1">
        <v>21.63</v>
      </c>
      <c r="K231" s="1">
        <v>0</v>
      </c>
      <c r="L231" s="1">
        <v>4</v>
      </c>
      <c r="M231" s="1">
        <v>870937.4</v>
      </c>
      <c r="N231" s="1">
        <v>175282.74</v>
      </c>
    </row>
    <row r="232" spans="1:14">
      <c r="A232" s="1" t="s">
        <v>79</v>
      </c>
      <c r="B232" s="3">
        <v>45717</v>
      </c>
      <c r="C232" s="1" t="s">
        <v>15</v>
      </c>
      <c r="D232" s="1" t="s">
        <v>18</v>
      </c>
      <c r="E232" s="1">
        <v>33173.949999999997</v>
      </c>
      <c r="F232" s="1">
        <v>6545</v>
      </c>
      <c r="G232" s="1">
        <v>0.16900000000000001</v>
      </c>
      <c r="H232" s="1">
        <v>15</v>
      </c>
      <c r="I232" s="1">
        <v>84.4</v>
      </c>
      <c r="J232" s="1">
        <v>2.48</v>
      </c>
      <c r="K232" s="1">
        <v>0</v>
      </c>
      <c r="L232" s="1">
        <v>3.9</v>
      </c>
      <c r="M232" s="1">
        <v>596969.27</v>
      </c>
      <c r="N232" s="1">
        <v>105669.51</v>
      </c>
    </row>
    <row r="233" spans="1:14">
      <c r="A233" s="1" t="s">
        <v>79</v>
      </c>
      <c r="B233" s="3">
        <v>45748</v>
      </c>
      <c r="C233" s="1" t="s">
        <v>15</v>
      </c>
      <c r="D233" s="1" t="s">
        <v>18</v>
      </c>
      <c r="E233" s="1">
        <v>25818.080000000002</v>
      </c>
      <c r="F233" s="1">
        <v>5457</v>
      </c>
      <c r="G233" s="1">
        <v>0</v>
      </c>
      <c r="H233" s="1">
        <v>11</v>
      </c>
      <c r="I233" s="1">
        <v>95.4</v>
      </c>
      <c r="J233" s="1"/>
      <c r="K233" s="1">
        <v>0</v>
      </c>
      <c r="L233" s="1">
        <v>3.7</v>
      </c>
      <c r="M233" s="1">
        <v>647512.85</v>
      </c>
      <c r="N233" s="1">
        <v>153835.57</v>
      </c>
    </row>
    <row r="234" spans="1:14">
      <c r="A234" s="1" t="s">
        <v>80</v>
      </c>
      <c r="B234" s="3">
        <v>45658</v>
      </c>
      <c r="C234" s="1" t="s">
        <v>27</v>
      </c>
      <c r="D234" s="1" t="s">
        <v>16</v>
      </c>
      <c r="E234" s="1">
        <v>47241.919999999998</v>
      </c>
      <c r="F234" s="1">
        <v>4264</v>
      </c>
      <c r="G234" s="1">
        <v>6.9000000000000006E-2</v>
      </c>
      <c r="H234" s="1">
        <v>13</v>
      </c>
      <c r="I234" s="1">
        <v>95.3</v>
      </c>
      <c r="J234" s="1">
        <v>0.85</v>
      </c>
      <c r="K234" s="1">
        <v>0</v>
      </c>
      <c r="L234" s="1">
        <v>4.3</v>
      </c>
      <c r="M234" s="1">
        <v>658072.14</v>
      </c>
      <c r="N234" s="1">
        <v>110595.89</v>
      </c>
    </row>
    <row r="235" spans="1:14">
      <c r="A235" s="1" t="s">
        <v>80</v>
      </c>
      <c r="B235" s="3">
        <v>45689</v>
      </c>
      <c r="C235" s="1" t="s">
        <v>27</v>
      </c>
      <c r="D235" s="1" t="s">
        <v>16</v>
      </c>
      <c r="E235" s="1">
        <v>61650.79</v>
      </c>
      <c r="F235" s="1">
        <v>5321</v>
      </c>
      <c r="G235" s="1">
        <v>0.126</v>
      </c>
      <c r="H235" s="1">
        <v>17</v>
      </c>
      <c r="I235" s="1">
        <v>89.2</v>
      </c>
      <c r="J235" s="1">
        <v>2.13</v>
      </c>
      <c r="K235" s="1">
        <v>0</v>
      </c>
      <c r="L235" s="1">
        <v>4</v>
      </c>
      <c r="M235" s="1">
        <v>723305.11</v>
      </c>
      <c r="N235" s="1">
        <v>128468.7</v>
      </c>
    </row>
    <row r="236" spans="1:14">
      <c r="A236" s="1" t="s">
        <v>80</v>
      </c>
      <c r="B236" s="3">
        <v>45717</v>
      </c>
      <c r="C236" s="1" t="s">
        <v>27</v>
      </c>
      <c r="D236" s="1" t="s">
        <v>16</v>
      </c>
      <c r="E236" s="1">
        <v>62582.71</v>
      </c>
      <c r="F236" s="1">
        <v>5479</v>
      </c>
      <c r="G236" s="1">
        <v>4.8000000000000001E-2</v>
      </c>
      <c r="H236" s="1">
        <v>16</v>
      </c>
      <c r="I236" s="1">
        <v>81.2</v>
      </c>
      <c r="J236" s="1">
        <v>1.46</v>
      </c>
      <c r="K236" s="1">
        <v>0</v>
      </c>
      <c r="L236" s="1">
        <v>4.5</v>
      </c>
      <c r="M236" s="1">
        <v>640666.53</v>
      </c>
      <c r="N236" s="1">
        <v>134919.16</v>
      </c>
    </row>
    <row r="237" spans="1:14">
      <c r="A237" s="1" t="s">
        <v>80</v>
      </c>
      <c r="B237" s="3">
        <v>45748</v>
      </c>
      <c r="C237" s="1" t="s">
        <v>27</v>
      </c>
      <c r="D237" s="1" t="s">
        <v>16</v>
      </c>
      <c r="E237" s="1">
        <v>47944.14</v>
      </c>
      <c r="F237" s="1">
        <v>6169</v>
      </c>
      <c r="G237" s="1">
        <v>0.11899999999999999</v>
      </c>
      <c r="H237" s="1">
        <v>17</v>
      </c>
      <c r="I237" s="1">
        <v>92.2</v>
      </c>
      <c r="J237" s="1">
        <v>3.02</v>
      </c>
      <c r="K237" s="1">
        <v>0</v>
      </c>
      <c r="L237" s="1">
        <v>4.0999999999999996</v>
      </c>
      <c r="M237" s="1">
        <v>670629.48</v>
      </c>
      <c r="N237" s="1">
        <v>100140.8</v>
      </c>
    </row>
    <row r="238" spans="1:14">
      <c r="A238" s="1" t="s">
        <v>81</v>
      </c>
      <c r="B238" s="3">
        <v>45658</v>
      </c>
      <c r="C238" s="1" t="s">
        <v>27</v>
      </c>
      <c r="D238" s="1" t="s">
        <v>28</v>
      </c>
      <c r="E238" s="1">
        <v>46495.4</v>
      </c>
      <c r="F238" s="1">
        <v>9908</v>
      </c>
      <c r="G238" s="1">
        <v>0.121</v>
      </c>
      <c r="H238" s="1">
        <v>22</v>
      </c>
      <c r="I238" s="1">
        <v>89.4</v>
      </c>
      <c r="J238" s="1">
        <v>3.22</v>
      </c>
      <c r="K238" s="1">
        <v>0</v>
      </c>
      <c r="L238" s="1">
        <v>3.7</v>
      </c>
      <c r="M238" s="1">
        <v>721079.35</v>
      </c>
      <c r="N238" s="1">
        <v>115295.05</v>
      </c>
    </row>
    <row r="239" spans="1:14">
      <c r="A239" s="1" t="s">
        <v>81</v>
      </c>
      <c r="B239" s="3">
        <v>45689</v>
      </c>
      <c r="C239" s="1" t="s">
        <v>27</v>
      </c>
      <c r="D239" s="1" t="s">
        <v>28</v>
      </c>
      <c r="E239" s="1">
        <v>72961.95</v>
      </c>
      <c r="F239" s="1">
        <v>9996</v>
      </c>
      <c r="G239" s="1">
        <v>0.106</v>
      </c>
      <c r="H239" s="1">
        <v>22</v>
      </c>
      <c r="I239" s="1">
        <v>89.1</v>
      </c>
      <c r="J239" s="1">
        <v>15.66</v>
      </c>
      <c r="K239" s="1">
        <v>0</v>
      </c>
      <c r="L239" s="1">
        <v>3.4</v>
      </c>
      <c r="M239" s="1">
        <v>810355.02</v>
      </c>
      <c r="N239" s="1">
        <v>131510</v>
      </c>
    </row>
    <row r="240" spans="1:14">
      <c r="A240" s="1" t="s">
        <v>81</v>
      </c>
      <c r="B240" s="3">
        <v>45717</v>
      </c>
      <c r="C240" s="1" t="s">
        <v>27</v>
      </c>
      <c r="D240" s="1" t="s">
        <v>28</v>
      </c>
      <c r="E240" s="1">
        <v>59060.05</v>
      </c>
      <c r="F240" s="1">
        <v>9702</v>
      </c>
      <c r="G240" s="1">
        <v>0.20100000000000001</v>
      </c>
      <c r="H240" s="1">
        <v>23</v>
      </c>
      <c r="I240" s="1">
        <v>80.900000000000006</v>
      </c>
      <c r="J240" s="1">
        <v>6.96</v>
      </c>
      <c r="K240" s="1">
        <v>0</v>
      </c>
      <c r="L240" s="1">
        <v>3.2</v>
      </c>
      <c r="M240" s="1">
        <v>761919.25</v>
      </c>
      <c r="N240" s="1">
        <v>111893.06</v>
      </c>
    </row>
    <row r="241" spans="1:14">
      <c r="A241" s="1" t="s">
        <v>81</v>
      </c>
      <c r="B241" s="3">
        <v>45748</v>
      </c>
      <c r="C241" s="1" t="s">
        <v>27</v>
      </c>
      <c r="D241" s="1" t="s">
        <v>28</v>
      </c>
      <c r="E241" s="1">
        <v>26248.1</v>
      </c>
      <c r="F241" s="1">
        <v>9314</v>
      </c>
      <c r="G241" s="1">
        <v>0.186</v>
      </c>
      <c r="H241" s="1">
        <v>21</v>
      </c>
      <c r="I241" s="1">
        <v>83.7</v>
      </c>
      <c r="J241" s="1">
        <v>4.62</v>
      </c>
      <c r="K241" s="1">
        <v>0</v>
      </c>
      <c r="L241" s="1">
        <v>3.3</v>
      </c>
      <c r="M241" s="1">
        <v>737070.18</v>
      </c>
      <c r="N241" s="1">
        <v>117593.97</v>
      </c>
    </row>
    <row r="242" spans="1:14">
      <c r="A242" s="1" t="s">
        <v>82</v>
      </c>
      <c r="B242" s="3">
        <v>45658</v>
      </c>
      <c r="C242" s="1" t="s">
        <v>24</v>
      </c>
      <c r="D242" s="1" t="s">
        <v>21</v>
      </c>
      <c r="E242" s="1">
        <v>69900.12</v>
      </c>
      <c r="F242" s="1">
        <v>8055</v>
      </c>
      <c r="G242" s="1">
        <v>0.28100000000000003</v>
      </c>
      <c r="H242" s="1">
        <v>22</v>
      </c>
      <c r="I242" s="1">
        <v>85.6</v>
      </c>
      <c r="J242" s="1">
        <v>10.68</v>
      </c>
      <c r="K242" s="1">
        <v>1</v>
      </c>
      <c r="L242" s="1">
        <v>2.9</v>
      </c>
      <c r="M242" s="1">
        <v>776992.93</v>
      </c>
      <c r="N242" s="1">
        <v>101598.32</v>
      </c>
    </row>
    <row r="243" spans="1:14">
      <c r="A243" s="1" t="s">
        <v>82</v>
      </c>
      <c r="B243" s="3">
        <v>45689</v>
      </c>
      <c r="C243" s="1" t="s">
        <v>24</v>
      </c>
      <c r="D243" s="1" t="s">
        <v>21</v>
      </c>
      <c r="E243" s="1">
        <v>51781.599999999999</v>
      </c>
      <c r="F243" s="1">
        <v>5648</v>
      </c>
      <c r="G243" s="1">
        <v>5.8999999999999997E-2</v>
      </c>
      <c r="H243" s="1">
        <v>13</v>
      </c>
      <c r="I243" s="1">
        <v>85.5</v>
      </c>
      <c r="J243" s="1">
        <v>4.04</v>
      </c>
      <c r="K243" s="1">
        <v>0</v>
      </c>
      <c r="L243" s="1">
        <v>3.7</v>
      </c>
      <c r="M243" s="1">
        <v>676337.41</v>
      </c>
      <c r="N243" s="1">
        <v>104355.77</v>
      </c>
    </row>
    <row r="244" spans="1:14">
      <c r="A244" s="1" t="s">
        <v>82</v>
      </c>
      <c r="B244" s="3">
        <v>45717</v>
      </c>
      <c r="C244" s="1" t="s">
        <v>24</v>
      </c>
      <c r="D244" s="1" t="s">
        <v>21</v>
      </c>
      <c r="E244" s="1">
        <v>70799.64</v>
      </c>
      <c r="F244" s="1">
        <v>10076</v>
      </c>
      <c r="G244" s="1">
        <v>0.152</v>
      </c>
      <c r="H244" s="1">
        <v>24</v>
      </c>
      <c r="I244" s="1">
        <v>84.8</v>
      </c>
      <c r="J244" s="1">
        <v>1.87</v>
      </c>
      <c r="K244" s="1">
        <v>0</v>
      </c>
      <c r="L244" s="1">
        <v>3.5</v>
      </c>
      <c r="M244" s="1">
        <v>828219.67</v>
      </c>
      <c r="N244" s="1">
        <v>179806.87</v>
      </c>
    </row>
    <row r="245" spans="1:14">
      <c r="A245" s="1" t="s">
        <v>82</v>
      </c>
      <c r="B245" s="3">
        <v>45748</v>
      </c>
      <c r="C245" s="1" t="s">
        <v>24</v>
      </c>
      <c r="D245" s="1" t="s">
        <v>21</v>
      </c>
      <c r="E245" s="1">
        <v>53546.34</v>
      </c>
      <c r="F245" s="1">
        <v>8004</v>
      </c>
      <c r="G245" s="1">
        <v>0</v>
      </c>
      <c r="H245" s="1">
        <v>21</v>
      </c>
      <c r="I245" s="1">
        <v>95.2</v>
      </c>
      <c r="J245" s="1">
        <v>2.83</v>
      </c>
      <c r="K245" s="1">
        <v>0</v>
      </c>
      <c r="L245" s="1">
        <v>3</v>
      </c>
      <c r="M245" s="1">
        <v>763159.92</v>
      </c>
      <c r="N245" s="1">
        <v>177104.87</v>
      </c>
    </row>
    <row r="246" spans="1:14">
      <c r="A246" s="1" t="s">
        <v>83</v>
      </c>
      <c r="B246" s="3">
        <v>45658</v>
      </c>
      <c r="C246" s="1" t="s">
        <v>15</v>
      </c>
      <c r="D246" s="1" t="s">
        <v>18</v>
      </c>
      <c r="E246" s="1">
        <v>76942.2</v>
      </c>
      <c r="F246" s="1">
        <v>8934</v>
      </c>
      <c r="G246" s="1">
        <v>8.4000000000000005E-2</v>
      </c>
      <c r="H246" s="1">
        <v>20</v>
      </c>
      <c r="I246" s="1">
        <v>91</v>
      </c>
      <c r="J246" s="1">
        <v>0.95</v>
      </c>
      <c r="K246" s="1">
        <v>0</v>
      </c>
      <c r="L246" s="1">
        <v>3.2</v>
      </c>
      <c r="M246" s="1">
        <v>802001.68</v>
      </c>
      <c r="N246" s="1">
        <v>159715.82</v>
      </c>
    </row>
    <row r="247" spans="1:14">
      <c r="A247" s="1" t="s">
        <v>83</v>
      </c>
      <c r="B247" s="3">
        <v>45689</v>
      </c>
      <c r="C247" s="1" t="s">
        <v>15</v>
      </c>
      <c r="D247" s="1" t="s">
        <v>18</v>
      </c>
      <c r="E247" s="1">
        <v>48060.78</v>
      </c>
      <c r="F247" s="1">
        <v>8733</v>
      </c>
      <c r="G247" s="1">
        <v>0</v>
      </c>
      <c r="H247" s="1">
        <v>20</v>
      </c>
      <c r="I247" s="1">
        <v>89.9</v>
      </c>
      <c r="J247" s="1">
        <v>0.8</v>
      </c>
      <c r="K247" s="1">
        <v>0</v>
      </c>
      <c r="L247" s="1">
        <v>3.4</v>
      </c>
      <c r="M247" s="1">
        <v>750471.34</v>
      </c>
      <c r="N247" s="1">
        <v>133788.04</v>
      </c>
    </row>
    <row r="248" spans="1:14">
      <c r="A248" s="1" t="s">
        <v>83</v>
      </c>
      <c r="B248" s="3">
        <v>45717</v>
      </c>
      <c r="C248" s="1" t="s">
        <v>15</v>
      </c>
      <c r="D248" s="1" t="s">
        <v>18</v>
      </c>
      <c r="E248" s="1">
        <v>57390.04</v>
      </c>
      <c r="F248" s="1">
        <v>7374</v>
      </c>
      <c r="G248" s="1">
        <v>0.21</v>
      </c>
      <c r="H248" s="1">
        <v>21</v>
      </c>
      <c r="I248" s="1">
        <v>91.8</v>
      </c>
      <c r="J248" s="1">
        <v>0.2</v>
      </c>
      <c r="K248" s="1">
        <v>0</v>
      </c>
      <c r="L248" s="1">
        <v>3.1</v>
      </c>
      <c r="M248" s="1">
        <v>679230.86</v>
      </c>
      <c r="N248" s="1">
        <v>106927.58</v>
      </c>
    </row>
    <row r="249" spans="1:14">
      <c r="A249" s="1" t="s">
        <v>83</v>
      </c>
      <c r="B249" s="3">
        <v>45748</v>
      </c>
      <c r="C249" s="1" t="s">
        <v>15</v>
      </c>
      <c r="D249" s="1" t="s">
        <v>18</v>
      </c>
      <c r="E249" s="1">
        <v>21536.18</v>
      </c>
      <c r="F249" s="1">
        <v>8119</v>
      </c>
      <c r="G249" s="1">
        <v>0.22700000000000001</v>
      </c>
      <c r="H249" s="1">
        <v>20</v>
      </c>
      <c r="I249" s="1">
        <v>90.4</v>
      </c>
      <c r="J249" s="1">
        <v>1.7</v>
      </c>
      <c r="K249" s="1">
        <v>0</v>
      </c>
      <c r="L249" s="1">
        <v>3.3</v>
      </c>
      <c r="M249" s="1">
        <v>679888.74</v>
      </c>
      <c r="N249" s="1">
        <v>83406.89</v>
      </c>
    </row>
    <row r="250" spans="1:14">
      <c r="A250" s="1" t="s">
        <v>84</v>
      </c>
      <c r="B250" s="3">
        <v>45658</v>
      </c>
      <c r="C250" s="1" t="s">
        <v>20</v>
      </c>
      <c r="D250" s="1" t="s">
        <v>18</v>
      </c>
      <c r="E250" s="1">
        <v>40923.67</v>
      </c>
      <c r="F250" s="1">
        <v>3875</v>
      </c>
      <c r="G250" s="1">
        <v>0.15</v>
      </c>
      <c r="H250" s="1">
        <v>10</v>
      </c>
      <c r="I250" s="1">
        <v>96.1</v>
      </c>
      <c r="J250" s="1"/>
      <c r="K250" s="1">
        <v>0</v>
      </c>
      <c r="L250" s="1">
        <v>3.8</v>
      </c>
      <c r="M250" s="1">
        <v>606783.67000000004</v>
      </c>
      <c r="N250" s="1">
        <v>74515.87</v>
      </c>
    </row>
    <row r="251" spans="1:14">
      <c r="A251" s="1" t="s">
        <v>84</v>
      </c>
      <c r="B251" s="3">
        <v>45689</v>
      </c>
      <c r="C251" s="1" t="s">
        <v>20</v>
      </c>
      <c r="D251" s="1" t="s">
        <v>18</v>
      </c>
      <c r="E251" s="1">
        <v>72932.55</v>
      </c>
      <c r="F251" s="1">
        <v>5765</v>
      </c>
      <c r="G251" s="1">
        <v>2.5999999999999999E-2</v>
      </c>
      <c r="H251" s="1">
        <v>17</v>
      </c>
      <c r="I251" s="1">
        <v>81.8</v>
      </c>
      <c r="J251" s="1">
        <v>5.0999999999999996</v>
      </c>
      <c r="K251" s="1">
        <v>0</v>
      </c>
      <c r="L251" s="1">
        <v>3.6</v>
      </c>
      <c r="M251" s="1">
        <v>642751.42000000004</v>
      </c>
      <c r="N251" s="1">
        <v>131942.15</v>
      </c>
    </row>
    <row r="252" spans="1:14">
      <c r="A252" s="1" t="s">
        <v>84</v>
      </c>
      <c r="B252" s="3">
        <v>45717</v>
      </c>
      <c r="C252" s="1" t="s">
        <v>20</v>
      </c>
      <c r="D252" s="1" t="s">
        <v>18</v>
      </c>
      <c r="E252" s="1">
        <v>38361.93</v>
      </c>
      <c r="F252" s="1">
        <v>6322</v>
      </c>
      <c r="G252" s="1">
        <v>0.27300000000000002</v>
      </c>
      <c r="H252" s="1">
        <v>15</v>
      </c>
      <c r="I252" s="1">
        <v>88.4</v>
      </c>
      <c r="J252" s="1">
        <v>0.83</v>
      </c>
      <c r="K252" s="1">
        <v>0</v>
      </c>
      <c r="L252" s="1">
        <v>4</v>
      </c>
      <c r="M252" s="1">
        <v>647953.78</v>
      </c>
      <c r="N252" s="1">
        <v>118497.43</v>
      </c>
    </row>
    <row r="253" spans="1:14">
      <c r="A253" s="1" t="s">
        <v>84</v>
      </c>
      <c r="B253" s="3">
        <v>45748</v>
      </c>
      <c r="C253" s="1" t="s">
        <v>20</v>
      </c>
      <c r="D253" s="1" t="s">
        <v>18</v>
      </c>
      <c r="E253" s="1">
        <v>97480.94</v>
      </c>
      <c r="F253" s="1">
        <v>6840</v>
      </c>
      <c r="G253" s="1">
        <v>8.6999999999999994E-2</v>
      </c>
      <c r="H253" s="1">
        <v>14</v>
      </c>
      <c r="I253" s="1">
        <v>79.2</v>
      </c>
      <c r="J253" s="1">
        <v>1.1399999999999999</v>
      </c>
      <c r="K253" s="1">
        <v>0</v>
      </c>
      <c r="L253" s="1">
        <v>4</v>
      </c>
      <c r="M253" s="1">
        <v>729440.45</v>
      </c>
      <c r="N253" s="1">
        <v>87614.29</v>
      </c>
    </row>
    <row r="254" spans="1:14">
      <c r="A254" s="1" t="s">
        <v>85</v>
      </c>
      <c r="B254" s="3">
        <v>45658</v>
      </c>
      <c r="C254" s="1" t="s">
        <v>24</v>
      </c>
      <c r="D254" s="1" t="s">
        <v>21</v>
      </c>
      <c r="E254" s="1">
        <v>81801.8</v>
      </c>
      <c r="F254" s="1">
        <v>6782</v>
      </c>
      <c r="G254" s="1">
        <v>0.05</v>
      </c>
      <c r="H254" s="1">
        <v>16</v>
      </c>
      <c r="I254" s="1">
        <v>99</v>
      </c>
      <c r="J254" s="1">
        <v>9.5399999999999991</v>
      </c>
      <c r="K254" s="1">
        <v>0</v>
      </c>
      <c r="L254" s="1">
        <v>3.7</v>
      </c>
      <c r="M254" s="1">
        <v>764949</v>
      </c>
      <c r="N254" s="1">
        <v>148322.43</v>
      </c>
    </row>
    <row r="255" spans="1:14">
      <c r="A255" s="1" t="s">
        <v>85</v>
      </c>
      <c r="B255" s="3">
        <v>45689</v>
      </c>
      <c r="C255" s="1" t="s">
        <v>24</v>
      </c>
      <c r="D255" s="1" t="s">
        <v>21</v>
      </c>
      <c r="E255" s="1">
        <v>63582.11</v>
      </c>
      <c r="F255" s="1">
        <v>6856</v>
      </c>
      <c r="G255" s="1">
        <v>7.3999999999999996E-2</v>
      </c>
      <c r="H255" s="1">
        <v>17</v>
      </c>
      <c r="I255" s="1">
        <v>89.5</v>
      </c>
      <c r="J255" s="1">
        <v>5.48</v>
      </c>
      <c r="K255" s="1">
        <v>0</v>
      </c>
      <c r="L255" s="1">
        <v>3.2</v>
      </c>
      <c r="M255" s="1">
        <v>799046.94</v>
      </c>
      <c r="N255" s="1">
        <v>144553.64000000001</v>
      </c>
    </row>
    <row r="256" spans="1:14">
      <c r="A256" s="1" t="s">
        <v>85</v>
      </c>
      <c r="B256" s="3">
        <v>45717</v>
      </c>
      <c r="C256" s="1" t="s">
        <v>24</v>
      </c>
      <c r="D256" s="1" t="s">
        <v>21</v>
      </c>
      <c r="E256" s="1">
        <v>75412.740000000005</v>
      </c>
      <c r="F256" s="1">
        <v>5641</v>
      </c>
      <c r="G256" s="1">
        <v>5.8999999999999997E-2</v>
      </c>
      <c r="H256" s="1">
        <v>13</v>
      </c>
      <c r="I256" s="1">
        <v>87.9</v>
      </c>
      <c r="J256" s="1">
        <v>0.84</v>
      </c>
      <c r="K256" s="1">
        <v>0</v>
      </c>
      <c r="L256" s="1">
        <v>3.6</v>
      </c>
      <c r="M256" s="1">
        <v>720079.54</v>
      </c>
      <c r="N256" s="1">
        <v>119499.47</v>
      </c>
    </row>
    <row r="257" spans="1:14">
      <c r="A257" s="1" t="s">
        <v>85</v>
      </c>
      <c r="B257" s="3">
        <v>45748</v>
      </c>
      <c r="C257" s="1" t="s">
        <v>24</v>
      </c>
      <c r="D257" s="1" t="s">
        <v>21</v>
      </c>
      <c r="E257" s="1">
        <v>36290.080000000002</v>
      </c>
      <c r="F257" s="1">
        <v>5787</v>
      </c>
      <c r="G257" s="1">
        <v>0</v>
      </c>
      <c r="H257" s="1">
        <v>17</v>
      </c>
      <c r="I257" s="1">
        <v>88.3</v>
      </c>
      <c r="J257" s="1">
        <v>4.1900000000000004</v>
      </c>
      <c r="K257" s="1">
        <v>0</v>
      </c>
      <c r="L257" s="1">
        <v>4.0999999999999996</v>
      </c>
      <c r="M257" s="1">
        <v>612390.14</v>
      </c>
      <c r="N257" s="1">
        <v>108985.74</v>
      </c>
    </row>
    <row r="258" spans="1:14">
      <c r="A258" s="1" t="s">
        <v>86</v>
      </c>
      <c r="B258" s="3">
        <v>45658</v>
      </c>
      <c r="C258" s="1" t="s">
        <v>24</v>
      </c>
      <c r="D258" s="1" t="s">
        <v>28</v>
      </c>
      <c r="E258" s="1">
        <v>65272.58</v>
      </c>
      <c r="F258" s="1">
        <v>8165</v>
      </c>
      <c r="G258" s="1">
        <v>5.0999999999999997E-2</v>
      </c>
      <c r="H258" s="1">
        <v>19</v>
      </c>
      <c r="I258" s="1">
        <v>87.8</v>
      </c>
      <c r="J258" s="1">
        <v>1.26</v>
      </c>
      <c r="K258" s="1">
        <v>1</v>
      </c>
      <c r="L258" s="1">
        <v>4.3</v>
      </c>
      <c r="M258" s="1">
        <v>840108.12</v>
      </c>
      <c r="N258" s="1">
        <v>126587.01</v>
      </c>
    </row>
    <row r="259" spans="1:14">
      <c r="A259" s="1" t="s">
        <v>86</v>
      </c>
      <c r="B259" s="3">
        <v>45689</v>
      </c>
      <c r="C259" s="1" t="s">
        <v>24</v>
      </c>
      <c r="D259" s="1" t="s">
        <v>28</v>
      </c>
      <c r="E259" s="1">
        <v>28670.43</v>
      </c>
      <c r="F259" s="1">
        <v>7574</v>
      </c>
      <c r="G259" s="1">
        <v>0.114</v>
      </c>
      <c r="H259" s="1">
        <v>19</v>
      </c>
      <c r="I259" s="1">
        <v>82.7</v>
      </c>
      <c r="J259" s="1">
        <v>2.74</v>
      </c>
      <c r="K259" s="1">
        <v>0</v>
      </c>
      <c r="L259" s="1">
        <v>4.5999999999999996</v>
      </c>
      <c r="M259" s="1">
        <v>697888.09</v>
      </c>
      <c r="N259" s="1">
        <v>116249.87</v>
      </c>
    </row>
    <row r="260" spans="1:14">
      <c r="A260" s="1" t="s">
        <v>86</v>
      </c>
      <c r="B260" s="3">
        <v>45717</v>
      </c>
      <c r="C260" s="1" t="s">
        <v>24</v>
      </c>
      <c r="D260" s="1" t="s">
        <v>28</v>
      </c>
      <c r="E260" s="1">
        <v>44189.34</v>
      </c>
      <c r="F260" s="1">
        <v>8634</v>
      </c>
      <c r="G260" s="1">
        <v>0.14299999999999999</v>
      </c>
      <c r="H260" s="1">
        <v>19</v>
      </c>
      <c r="I260" s="1">
        <v>87.5</v>
      </c>
      <c r="J260" s="1">
        <v>3.69</v>
      </c>
      <c r="K260" s="1">
        <v>0</v>
      </c>
      <c r="L260" s="1">
        <v>4.4000000000000004</v>
      </c>
      <c r="M260" s="1">
        <v>746115.59</v>
      </c>
      <c r="N260" s="1">
        <v>94662.96</v>
      </c>
    </row>
    <row r="261" spans="1:14">
      <c r="A261" s="1" t="s">
        <v>86</v>
      </c>
      <c r="B261" s="3">
        <v>45748</v>
      </c>
      <c r="C261" s="1" t="s">
        <v>24</v>
      </c>
      <c r="D261" s="1" t="s">
        <v>28</v>
      </c>
      <c r="E261" s="1">
        <v>38397.82</v>
      </c>
      <c r="F261" s="1">
        <v>7836</v>
      </c>
      <c r="G261" s="1">
        <v>7.0000000000000001E-3</v>
      </c>
      <c r="H261" s="1">
        <v>21</v>
      </c>
      <c r="I261" s="1">
        <v>92.2</v>
      </c>
      <c r="J261" s="1">
        <v>1.82</v>
      </c>
      <c r="K261" s="1">
        <v>0</v>
      </c>
      <c r="L261" s="1">
        <v>3.6</v>
      </c>
      <c r="M261" s="1">
        <v>776110.32</v>
      </c>
      <c r="N261" s="1">
        <v>139676.21</v>
      </c>
    </row>
    <row r="262" spans="1:14">
      <c r="A262" s="1" t="s">
        <v>87</v>
      </c>
      <c r="B262" s="3">
        <v>45658</v>
      </c>
      <c r="C262" s="1" t="s">
        <v>27</v>
      </c>
      <c r="D262" s="1" t="s">
        <v>18</v>
      </c>
      <c r="E262" s="1">
        <v>14519.37</v>
      </c>
      <c r="F262" s="1">
        <v>3047</v>
      </c>
      <c r="G262" s="1">
        <v>0.13500000000000001</v>
      </c>
      <c r="H262" s="1">
        <v>10</v>
      </c>
      <c r="I262" s="1">
        <v>90.3</v>
      </c>
      <c r="J262" s="1">
        <v>6.62</v>
      </c>
      <c r="K262" s="1">
        <v>0</v>
      </c>
      <c r="L262" s="1">
        <v>4.2</v>
      </c>
      <c r="M262" s="1">
        <v>528852.62</v>
      </c>
      <c r="N262" s="1">
        <v>68426.210000000006</v>
      </c>
    </row>
    <row r="263" spans="1:14">
      <c r="A263" s="1" t="s">
        <v>87</v>
      </c>
      <c r="B263" s="3">
        <v>45689</v>
      </c>
      <c r="C263" s="1" t="s">
        <v>27</v>
      </c>
      <c r="D263" s="1" t="s">
        <v>18</v>
      </c>
      <c r="E263" s="1">
        <v>43288.2</v>
      </c>
      <c r="F263" s="1">
        <v>4783</v>
      </c>
      <c r="G263" s="1">
        <v>0.16900000000000001</v>
      </c>
      <c r="H263" s="1">
        <v>13</v>
      </c>
      <c r="I263" s="1">
        <v>87.3</v>
      </c>
      <c r="J263" s="1"/>
      <c r="K263" s="1">
        <v>0</v>
      </c>
      <c r="L263" s="1">
        <v>4.2</v>
      </c>
      <c r="M263" s="1">
        <v>605751.32999999996</v>
      </c>
      <c r="N263" s="1">
        <v>60685.53</v>
      </c>
    </row>
    <row r="264" spans="1:14">
      <c r="A264" s="1" t="s">
        <v>87</v>
      </c>
      <c r="B264" s="3">
        <v>45717</v>
      </c>
      <c r="C264" s="1" t="s">
        <v>27</v>
      </c>
      <c r="D264" s="1" t="s">
        <v>18</v>
      </c>
      <c r="E264" s="1">
        <v>51450.55</v>
      </c>
      <c r="F264" s="1">
        <v>4902</v>
      </c>
      <c r="G264" s="1">
        <v>8.5999999999999993E-2</v>
      </c>
      <c r="H264" s="1">
        <v>11</v>
      </c>
      <c r="I264" s="1">
        <v>83.7</v>
      </c>
      <c r="J264" s="1">
        <v>6.92</v>
      </c>
      <c r="K264" s="1">
        <v>1</v>
      </c>
      <c r="L264" s="1">
        <v>4.2</v>
      </c>
      <c r="M264" s="1">
        <v>677640.65</v>
      </c>
      <c r="N264" s="1">
        <v>111610.89</v>
      </c>
    </row>
    <row r="265" spans="1:14">
      <c r="A265" s="1" t="s">
        <v>87</v>
      </c>
      <c r="B265" s="3">
        <v>45748</v>
      </c>
      <c r="C265" s="1" t="s">
        <v>27</v>
      </c>
      <c r="D265" s="1" t="s">
        <v>18</v>
      </c>
      <c r="E265" s="1">
        <v>58688.26</v>
      </c>
      <c r="F265" s="1">
        <v>4022</v>
      </c>
      <c r="G265" s="1">
        <v>0.217</v>
      </c>
      <c r="H265" s="1">
        <v>12</v>
      </c>
      <c r="I265" s="1">
        <v>93.8</v>
      </c>
      <c r="J265" s="1">
        <v>11.78</v>
      </c>
      <c r="K265" s="1">
        <v>0</v>
      </c>
      <c r="L265" s="1">
        <v>3.7</v>
      </c>
      <c r="M265" s="1">
        <v>636613.23</v>
      </c>
      <c r="N265" s="1">
        <v>78908.350000000006</v>
      </c>
    </row>
    <row r="266" spans="1:14">
      <c r="A266" s="1" t="s">
        <v>88</v>
      </c>
      <c r="B266" s="3">
        <v>45658</v>
      </c>
      <c r="C266" s="1" t="s">
        <v>15</v>
      </c>
      <c r="D266" s="1" t="s">
        <v>18</v>
      </c>
      <c r="E266" s="1">
        <v>58981.91</v>
      </c>
      <c r="F266" s="1">
        <v>7324</v>
      </c>
      <c r="G266" s="1">
        <v>9.4E-2</v>
      </c>
      <c r="H266" s="1">
        <v>15</v>
      </c>
      <c r="I266" s="1">
        <v>95.8</v>
      </c>
      <c r="J266" s="1">
        <v>0.5</v>
      </c>
      <c r="K266" s="1">
        <v>0</v>
      </c>
      <c r="L266" s="1">
        <v>3.5</v>
      </c>
      <c r="M266" s="1">
        <v>708985.19</v>
      </c>
      <c r="N266" s="1">
        <v>125368.16</v>
      </c>
    </row>
    <row r="267" spans="1:14">
      <c r="A267" s="1" t="s">
        <v>88</v>
      </c>
      <c r="B267" s="3">
        <v>45689</v>
      </c>
      <c r="C267" s="1" t="s">
        <v>15</v>
      </c>
      <c r="D267" s="1" t="s">
        <v>18</v>
      </c>
      <c r="E267" s="1">
        <v>73454.539999999994</v>
      </c>
      <c r="F267" s="1">
        <v>8129</v>
      </c>
      <c r="G267" s="1">
        <v>0.21099999999999999</v>
      </c>
      <c r="H267" s="1">
        <v>20</v>
      </c>
      <c r="I267" s="1">
        <v>85.2</v>
      </c>
      <c r="J267" s="1">
        <v>0.88</v>
      </c>
      <c r="K267" s="1">
        <v>0</v>
      </c>
      <c r="L267" s="1">
        <v>3.7</v>
      </c>
      <c r="M267" s="1">
        <v>767792.94</v>
      </c>
      <c r="N267" s="1">
        <v>96235.77</v>
      </c>
    </row>
    <row r="268" spans="1:14">
      <c r="A268" s="1" t="s">
        <v>88</v>
      </c>
      <c r="B268" s="3">
        <v>45717</v>
      </c>
      <c r="C268" s="1" t="s">
        <v>15</v>
      </c>
      <c r="D268" s="1" t="s">
        <v>18</v>
      </c>
      <c r="E268" s="1">
        <v>56602.39</v>
      </c>
      <c r="F268" s="1">
        <v>7969</v>
      </c>
      <c r="G268" s="1">
        <v>0.17</v>
      </c>
      <c r="H268" s="1">
        <v>21</v>
      </c>
      <c r="I268" s="1">
        <v>88.3</v>
      </c>
      <c r="J268" s="1">
        <v>2.25</v>
      </c>
      <c r="K268" s="1">
        <v>0</v>
      </c>
      <c r="L268" s="1">
        <v>3.7</v>
      </c>
      <c r="M268" s="1">
        <v>745580.51</v>
      </c>
      <c r="N268" s="1">
        <v>116273.68</v>
      </c>
    </row>
    <row r="269" spans="1:14">
      <c r="A269" s="1" t="s">
        <v>88</v>
      </c>
      <c r="B269" s="3">
        <v>45748</v>
      </c>
      <c r="C269" s="1" t="s">
        <v>15</v>
      </c>
      <c r="D269" s="1" t="s">
        <v>18</v>
      </c>
      <c r="E269" s="1">
        <v>67722.289999999994</v>
      </c>
      <c r="F269" s="1">
        <v>7240</v>
      </c>
      <c r="G269" s="1">
        <v>2.5999999999999999E-2</v>
      </c>
      <c r="H269" s="1">
        <v>15</v>
      </c>
      <c r="I269" s="1">
        <v>92.9</v>
      </c>
      <c r="J269" s="1">
        <v>0.28999999999999998</v>
      </c>
      <c r="K269" s="1">
        <v>0</v>
      </c>
      <c r="L269" s="1">
        <v>3.5</v>
      </c>
      <c r="M269" s="1">
        <v>762328.31</v>
      </c>
      <c r="N269" s="1">
        <v>159158.19</v>
      </c>
    </row>
    <row r="270" spans="1:14">
      <c r="A270" s="1" t="s">
        <v>89</v>
      </c>
      <c r="B270" s="3">
        <v>45658</v>
      </c>
      <c r="C270" s="1" t="s">
        <v>15</v>
      </c>
      <c r="D270" s="1" t="s">
        <v>28</v>
      </c>
      <c r="E270" s="1">
        <v>48752.92</v>
      </c>
      <c r="F270" s="1">
        <v>8052</v>
      </c>
      <c r="G270" s="1">
        <v>0.106</v>
      </c>
      <c r="H270" s="1">
        <v>16</v>
      </c>
      <c r="I270" s="1">
        <v>94.9</v>
      </c>
      <c r="J270" s="1">
        <v>0.65</v>
      </c>
      <c r="K270" s="1">
        <v>0</v>
      </c>
      <c r="L270" s="1">
        <v>3.6</v>
      </c>
      <c r="M270" s="1">
        <v>660633.99</v>
      </c>
      <c r="N270" s="1">
        <v>118768.66</v>
      </c>
    </row>
    <row r="271" spans="1:14">
      <c r="A271" s="1" t="s">
        <v>89</v>
      </c>
      <c r="B271" s="3">
        <v>45689</v>
      </c>
      <c r="C271" s="1" t="s">
        <v>15</v>
      </c>
      <c r="D271" s="1" t="s">
        <v>28</v>
      </c>
      <c r="E271" s="1">
        <v>23914.97</v>
      </c>
      <c r="F271" s="1">
        <v>8018</v>
      </c>
      <c r="G271" s="1">
        <v>0.13900000000000001</v>
      </c>
      <c r="H271" s="1">
        <v>20</v>
      </c>
      <c r="I271" s="1">
        <v>89</v>
      </c>
      <c r="J271" s="1">
        <v>0.2</v>
      </c>
      <c r="K271" s="1">
        <v>0</v>
      </c>
      <c r="L271" s="1">
        <v>3.5</v>
      </c>
      <c r="M271" s="1">
        <v>739374.56</v>
      </c>
      <c r="N271" s="1">
        <v>121032.29</v>
      </c>
    </row>
    <row r="272" spans="1:14">
      <c r="A272" s="1" t="s">
        <v>89</v>
      </c>
      <c r="B272" s="3">
        <v>45717</v>
      </c>
      <c r="C272" s="1" t="s">
        <v>15</v>
      </c>
      <c r="D272" s="1" t="s">
        <v>28</v>
      </c>
      <c r="E272" s="1">
        <v>61995.3</v>
      </c>
      <c r="F272" s="1">
        <v>10192</v>
      </c>
      <c r="G272" s="1">
        <v>0.19800000000000001</v>
      </c>
      <c r="H272" s="1">
        <v>21</v>
      </c>
      <c r="I272" s="1">
        <v>87.6</v>
      </c>
      <c r="J272" s="1">
        <v>3.63</v>
      </c>
      <c r="K272" s="1">
        <v>1</v>
      </c>
      <c r="L272" s="1">
        <v>3.8</v>
      </c>
      <c r="M272" s="1">
        <v>799756.46</v>
      </c>
      <c r="N272" s="1">
        <v>105052.93</v>
      </c>
    </row>
    <row r="273" spans="1:14">
      <c r="A273" s="1" t="s">
        <v>89</v>
      </c>
      <c r="B273" s="3">
        <v>45748</v>
      </c>
      <c r="C273" s="1" t="s">
        <v>15</v>
      </c>
      <c r="D273" s="1" t="s">
        <v>28</v>
      </c>
      <c r="E273" s="1">
        <v>29344.93</v>
      </c>
      <c r="F273" s="1">
        <v>7446</v>
      </c>
      <c r="G273" s="1">
        <v>0.111</v>
      </c>
      <c r="H273" s="1">
        <v>15</v>
      </c>
      <c r="I273" s="1">
        <v>86.2</v>
      </c>
      <c r="J273" s="1">
        <v>0.2</v>
      </c>
      <c r="K273" s="1">
        <v>0</v>
      </c>
      <c r="L273" s="1">
        <v>3.2</v>
      </c>
      <c r="M273" s="1">
        <v>593343</v>
      </c>
      <c r="N273" s="1">
        <v>82832.240000000005</v>
      </c>
    </row>
    <row r="274" spans="1:14">
      <c r="A274" s="1" t="s">
        <v>90</v>
      </c>
      <c r="B274" s="3">
        <v>45658</v>
      </c>
      <c r="C274" s="1" t="s">
        <v>27</v>
      </c>
      <c r="D274" s="1" t="s">
        <v>18</v>
      </c>
      <c r="E274" s="1">
        <v>50532.17</v>
      </c>
      <c r="F274" s="1">
        <v>5689</v>
      </c>
      <c r="G274" s="1">
        <v>5.1999999999999998E-2</v>
      </c>
      <c r="H274" s="1">
        <v>17</v>
      </c>
      <c r="I274" s="1">
        <v>85.6</v>
      </c>
      <c r="J274" s="1">
        <v>6.23</v>
      </c>
      <c r="K274" s="1">
        <v>0</v>
      </c>
      <c r="L274" s="1">
        <v>3.3</v>
      </c>
      <c r="M274" s="1">
        <v>645039.97</v>
      </c>
      <c r="N274" s="1">
        <v>83093.33</v>
      </c>
    </row>
    <row r="275" spans="1:14">
      <c r="A275" s="1" t="s">
        <v>90</v>
      </c>
      <c r="B275" s="3">
        <v>45689</v>
      </c>
      <c r="C275" s="1" t="s">
        <v>27</v>
      </c>
      <c r="D275" s="1" t="s">
        <v>18</v>
      </c>
      <c r="E275" s="1">
        <v>17562.57</v>
      </c>
      <c r="F275" s="1">
        <v>3326</v>
      </c>
      <c r="G275" s="1">
        <v>0.153</v>
      </c>
      <c r="H275" s="1">
        <v>14</v>
      </c>
      <c r="I275" s="1">
        <v>88.1</v>
      </c>
      <c r="J275" s="1">
        <v>1.04</v>
      </c>
      <c r="K275" s="1">
        <v>0</v>
      </c>
      <c r="L275" s="1">
        <v>3.1</v>
      </c>
      <c r="M275" s="1">
        <v>561597.32999999996</v>
      </c>
      <c r="N275" s="1">
        <v>75072.75</v>
      </c>
    </row>
    <row r="276" spans="1:14">
      <c r="A276" s="1" t="s">
        <v>90</v>
      </c>
      <c r="B276" s="3">
        <v>45717</v>
      </c>
      <c r="C276" s="1" t="s">
        <v>27</v>
      </c>
      <c r="D276" s="1" t="s">
        <v>18</v>
      </c>
      <c r="E276" s="1">
        <v>47648.71</v>
      </c>
      <c r="F276" s="1">
        <v>5767</v>
      </c>
      <c r="G276" s="1">
        <v>0.14099999999999999</v>
      </c>
      <c r="H276" s="1">
        <v>17</v>
      </c>
      <c r="I276" s="1">
        <v>89.8</v>
      </c>
      <c r="J276" s="1">
        <v>1.76</v>
      </c>
      <c r="K276" s="1">
        <v>0</v>
      </c>
      <c r="L276" s="1">
        <v>3.1</v>
      </c>
      <c r="M276" s="1">
        <v>635837.74</v>
      </c>
      <c r="N276" s="1">
        <v>114740.64</v>
      </c>
    </row>
    <row r="277" spans="1:14">
      <c r="A277" s="1" t="s">
        <v>90</v>
      </c>
      <c r="B277" s="3">
        <v>45748</v>
      </c>
      <c r="C277" s="1" t="s">
        <v>27</v>
      </c>
      <c r="D277" s="1" t="s">
        <v>18</v>
      </c>
      <c r="E277" s="1">
        <v>38297.58</v>
      </c>
      <c r="F277" s="1">
        <v>5893</v>
      </c>
      <c r="G277" s="1">
        <v>0.247</v>
      </c>
      <c r="H277" s="1">
        <v>18</v>
      </c>
      <c r="I277" s="1">
        <v>77.599999999999994</v>
      </c>
      <c r="J277" s="1">
        <v>2.86</v>
      </c>
      <c r="K277" s="1">
        <v>0</v>
      </c>
      <c r="L277" s="1">
        <v>3</v>
      </c>
      <c r="M277" s="1">
        <v>686737.87</v>
      </c>
      <c r="N277" s="1">
        <v>83839.67</v>
      </c>
    </row>
    <row r="278" spans="1:14">
      <c r="A278" s="1" t="s">
        <v>91</v>
      </c>
      <c r="B278" s="3">
        <v>45658</v>
      </c>
      <c r="C278" s="1" t="s">
        <v>24</v>
      </c>
      <c r="D278" s="1" t="s">
        <v>16</v>
      </c>
      <c r="E278" s="1">
        <v>61784.11</v>
      </c>
      <c r="F278" s="1">
        <v>8564</v>
      </c>
      <c r="G278" s="1">
        <v>0.13</v>
      </c>
      <c r="H278" s="1">
        <v>17</v>
      </c>
      <c r="I278" s="1">
        <v>87.4</v>
      </c>
      <c r="J278" s="1">
        <v>18.14</v>
      </c>
      <c r="K278" s="1">
        <v>1</v>
      </c>
      <c r="L278" s="1">
        <v>3.4</v>
      </c>
      <c r="M278" s="1">
        <v>673076.34</v>
      </c>
      <c r="N278" s="1">
        <v>93899.76</v>
      </c>
    </row>
    <row r="279" spans="1:14">
      <c r="A279" s="1" t="s">
        <v>91</v>
      </c>
      <c r="B279" s="3">
        <v>45689</v>
      </c>
      <c r="C279" s="1" t="s">
        <v>24</v>
      </c>
      <c r="D279" s="1" t="s">
        <v>16</v>
      </c>
      <c r="E279" s="1">
        <v>36832.33</v>
      </c>
      <c r="F279" s="1">
        <v>8001</v>
      </c>
      <c r="G279" s="1">
        <v>0</v>
      </c>
      <c r="H279" s="1">
        <v>19</v>
      </c>
      <c r="I279" s="1">
        <v>88.7</v>
      </c>
      <c r="J279" s="1">
        <v>3.39</v>
      </c>
      <c r="K279" s="1">
        <v>0</v>
      </c>
      <c r="L279" s="1">
        <v>4</v>
      </c>
      <c r="M279" s="1">
        <v>738548.42</v>
      </c>
      <c r="N279" s="1">
        <v>134282.76999999999</v>
      </c>
    </row>
    <row r="280" spans="1:14">
      <c r="A280" s="1" t="s">
        <v>91</v>
      </c>
      <c r="B280" s="3">
        <v>45717</v>
      </c>
      <c r="C280" s="1" t="s">
        <v>24</v>
      </c>
      <c r="D280" s="1" t="s">
        <v>16</v>
      </c>
      <c r="E280" s="1">
        <v>48609.41</v>
      </c>
      <c r="F280" s="1">
        <v>9324</v>
      </c>
      <c r="G280" s="1">
        <v>0.21299999999999999</v>
      </c>
      <c r="H280" s="1">
        <v>18</v>
      </c>
      <c r="I280" s="1">
        <v>86.5</v>
      </c>
      <c r="J280" s="1">
        <v>1.44</v>
      </c>
      <c r="K280" s="1">
        <v>0</v>
      </c>
      <c r="L280" s="1">
        <v>3.9</v>
      </c>
      <c r="M280" s="1">
        <v>756619.77</v>
      </c>
      <c r="N280" s="1">
        <v>112057.69</v>
      </c>
    </row>
    <row r="281" spans="1:14">
      <c r="A281" s="1" t="s">
        <v>91</v>
      </c>
      <c r="B281" s="3">
        <v>45748</v>
      </c>
      <c r="C281" s="1" t="s">
        <v>24</v>
      </c>
      <c r="D281" s="1" t="s">
        <v>16</v>
      </c>
      <c r="E281" s="1">
        <v>70284.06</v>
      </c>
      <c r="F281" s="1">
        <v>9109</v>
      </c>
      <c r="G281" s="1">
        <v>4.0000000000000001E-3</v>
      </c>
      <c r="H281" s="1">
        <v>23</v>
      </c>
      <c r="I281" s="1">
        <v>87</v>
      </c>
      <c r="J281" s="1">
        <v>3.65</v>
      </c>
      <c r="K281" s="1">
        <v>0</v>
      </c>
      <c r="L281" s="1">
        <v>3.7</v>
      </c>
      <c r="M281" s="1">
        <v>761122.42</v>
      </c>
      <c r="N281" s="1">
        <v>149802.04</v>
      </c>
    </row>
    <row r="282" spans="1:14">
      <c r="A282" s="1" t="s">
        <v>92</v>
      </c>
      <c r="B282" s="3">
        <v>45658</v>
      </c>
      <c r="C282" s="1" t="s">
        <v>24</v>
      </c>
      <c r="D282" s="1" t="s">
        <v>18</v>
      </c>
      <c r="E282" s="1">
        <v>45940.39</v>
      </c>
      <c r="F282" s="1">
        <v>4022</v>
      </c>
      <c r="G282" s="1">
        <v>6.9000000000000006E-2</v>
      </c>
      <c r="H282" s="1">
        <v>10</v>
      </c>
      <c r="I282" s="1">
        <v>83</v>
      </c>
      <c r="J282" s="1">
        <v>1.23</v>
      </c>
      <c r="K282" s="1">
        <v>1</v>
      </c>
      <c r="L282" s="1">
        <v>3.8</v>
      </c>
      <c r="M282" s="1">
        <v>524899.56999999995</v>
      </c>
      <c r="N282" s="1">
        <v>63619.98</v>
      </c>
    </row>
    <row r="283" spans="1:14">
      <c r="A283" s="1" t="s">
        <v>92</v>
      </c>
      <c r="B283" s="3">
        <v>45689</v>
      </c>
      <c r="C283" s="1" t="s">
        <v>24</v>
      </c>
      <c r="D283" s="1" t="s">
        <v>18</v>
      </c>
      <c r="E283" s="1">
        <v>34771.26</v>
      </c>
      <c r="F283" s="1">
        <v>4355</v>
      </c>
      <c r="G283" s="1">
        <v>5.0999999999999997E-2</v>
      </c>
      <c r="H283" s="1">
        <v>15</v>
      </c>
      <c r="I283" s="1">
        <v>87.9</v>
      </c>
      <c r="J283" s="1">
        <v>3.09</v>
      </c>
      <c r="K283" s="1">
        <v>0</v>
      </c>
      <c r="L283" s="1">
        <v>4</v>
      </c>
      <c r="M283" s="1">
        <v>555557.77</v>
      </c>
      <c r="N283" s="1">
        <v>86475.51</v>
      </c>
    </row>
    <row r="284" spans="1:14">
      <c r="A284" s="1" t="s">
        <v>92</v>
      </c>
      <c r="B284" s="3">
        <v>45717</v>
      </c>
      <c r="C284" s="1" t="s">
        <v>24</v>
      </c>
      <c r="D284" s="1" t="s">
        <v>18</v>
      </c>
      <c r="E284" s="1">
        <v>66104.19</v>
      </c>
      <c r="F284" s="1">
        <v>5745</v>
      </c>
      <c r="G284" s="1">
        <v>7.0000000000000007E-2</v>
      </c>
      <c r="H284" s="1">
        <v>17</v>
      </c>
      <c r="I284" s="1">
        <v>95.8</v>
      </c>
      <c r="J284" s="1">
        <v>3.15</v>
      </c>
      <c r="K284" s="1">
        <v>0</v>
      </c>
      <c r="L284" s="1">
        <v>4</v>
      </c>
      <c r="M284" s="1">
        <v>714083.68</v>
      </c>
      <c r="N284" s="1">
        <v>127231.74</v>
      </c>
    </row>
    <row r="285" spans="1:14">
      <c r="A285" s="1" t="s">
        <v>92</v>
      </c>
      <c r="B285" s="3">
        <v>45748</v>
      </c>
      <c r="C285" s="1" t="s">
        <v>24</v>
      </c>
      <c r="D285" s="1" t="s">
        <v>18</v>
      </c>
      <c r="E285" s="1">
        <v>18599.21</v>
      </c>
      <c r="F285" s="1">
        <v>3027</v>
      </c>
      <c r="G285" s="1">
        <v>0.122</v>
      </c>
      <c r="H285" s="1">
        <v>11</v>
      </c>
      <c r="I285" s="1">
        <v>80.900000000000006</v>
      </c>
      <c r="J285" s="1">
        <v>6.44</v>
      </c>
      <c r="K285" s="1">
        <v>0</v>
      </c>
      <c r="L285" s="1">
        <v>4.2</v>
      </c>
      <c r="M285" s="1">
        <v>497439.82</v>
      </c>
      <c r="N285" s="1">
        <v>93372.75</v>
      </c>
    </row>
    <row r="286" spans="1:14">
      <c r="A286" s="1" t="s">
        <v>93</v>
      </c>
      <c r="B286" s="3">
        <v>45658</v>
      </c>
      <c r="C286" s="1" t="s">
        <v>27</v>
      </c>
      <c r="D286" s="1" t="s">
        <v>16</v>
      </c>
      <c r="E286" s="1">
        <v>60183.06</v>
      </c>
      <c r="F286" s="1">
        <v>5562</v>
      </c>
      <c r="G286" s="1">
        <v>8.9999999999999993E-3</v>
      </c>
      <c r="H286" s="1">
        <v>13</v>
      </c>
      <c r="I286" s="1">
        <v>86.3</v>
      </c>
      <c r="J286" s="1">
        <v>0.2</v>
      </c>
      <c r="K286" s="1">
        <v>1</v>
      </c>
      <c r="L286" s="1">
        <v>4.5</v>
      </c>
      <c r="M286" s="1">
        <v>636775.66</v>
      </c>
      <c r="N286" s="1">
        <v>122636.86</v>
      </c>
    </row>
    <row r="287" spans="1:14">
      <c r="A287" s="1" t="s">
        <v>93</v>
      </c>
      <c r="B287" s="3">
        <v>45689</v>
      </c>
      <c r="C287" s="1" t="s">
        <v>27</v>
      </c>
      <c r="D287" s="1" t="s">
        <v>16</v>
      </c>
      <c r="E287" s="1">
        <v>74539.14</v>
      </c>
      <c r="F287" s="1">
        <v>4487</v>
      </c>
      <c r="G287" s="1">
        <v>0.14000000000000001</v>
      </c>
      <c r="H287" s="1">
        <v>10</v>
      </c>
      <c r="I287" s="1">
        <v>90.4</v>
      </c>
      <c r="J287" s="1">
        <v>0.59</v>
      </c>
      <c r="K287" s="1">
        <v>0</v>
      </c>
      <c r="L287" s="1">
        <v>4.5</v>
      </c>
      <c r="M287" s="1">
        <v>633009.53</v>
      </c>
      <c r="N287" s="1">
        <v>123782.67</v>
      </c>
    </row>
    <row r="288" spans="1:14">
      <c r="A288" s="1" t="s">
        <v>93</v>
      </c>
      <c r="B288" s="3">
        <v>45717</v>
      </c>
      <c r="C288" s="1" t="s">
        <v>27</v>
      </c>
      <c r="D288" s="1" t="s">
        <v>16</v>
      </c>
      <c r="E288" s="1">
        <v>55371.97</v>
      </c>
      <c r="F288" s="1">
        <v>4162</v>
      </c>
      <c r="G288" s="1">
        <v>0.183</v>
      </c>
      <c r="H288" s="1">
        <v>11</v>
      </c>
      <c r="I288" s="1">
        <v>92</v>
      </c>
      <c r="J288" s="1">
        <v>0.2</v>
      </c>
      <c r="K288" s="1">
        <v>1</v>
      </c>
      <c r="L288" s="1">
        <v>4.2</v>
      </c>
      <c r="M288" s="1">
        <v>609949</v>
      </c>
      <c r="N288" s="1">
        <v>126789.25</v>
      </c>
    </row>
    <row r="289" spans="1:14">
      <c r="A289" s="1" t="s">
        <v>93</v>
      </c>
      <c r="B289" s="3">
        <v>45748</v>
      </c>
      <c r="C289" s="1" t="s">
        <v>27</v>
      </c>
      <c r="D289" s="1" t="s">
        <v>16</v>
      </c>
      <c r="E289" s="1">
        <v>40928.69</v>
      </c>
      <c r="F289" s="1">
        <v>4094</v>
      </c>
      <c r="G289" s="1">
        <v>0.17399999999999999</v>
      </c>
      <c r="H289" s="1">
        <v>13</v>
      </c>
      <c r="I289" s="1">
        <v>82.4</v>
      </c>
      <c r="J289" s="1">
        <v>1.36</v>
      </c>
      <c r="K289" s="1">
        <v>0</v>
      </c>
      <c r="L289" s="1">
        <v>4.8</v>
      </c>
      <c r="M289" s="1">
        <v>548103.69999999995</v>
      </c>
      <c r="N289" s="1">
        <v>99905.52</v>
      </c>
    </row>
    <row r="290" spans="1:14">
      <c r="A290" s="1" t="s">
        <v>94</v>
      </c>
      <c r="B290" s="3">
        <v>45658</v>
      </c>
      <c r="C290" s="1" t="s">
        <v>15</v>
      </c>
      <c r="D290" s="1" t="s">
        <v>16</v>
      </c>
      <c r="E290" s="1">
        <v>70012.41</v>
      </c>
      <c r="F290" s="1">
        <v>8484</v>
      </c>
      <c r="G290" s="1">
        <v>0.27300000000000002</v>
      </c>
      <c r="H290" s="1">
        <v>23</v>
      </c>
      <c r="I290" s="1">
        <v>72.900000000000006</v>
      </c>
      <c r="J290" s="1">
        <v>3.34</v>
      </c>
      <c r="K290" s="1">
        <v>0</v>
      </c>
      <c r="L290" s="1">
        <v>3.7</v>
      </c>
      <c r="M290" s="1">
        <v>729424.42</v>
      </c>
      <c r="N290" s="1">
        <v>75592.28</v>
      </c>
    </row>
    <row r="291" spans="1:14">
      <c r="A291" s="1" t="s">
        <v>94</v>
      </c>
      <c r="B291" s="3">
        <v>45689</v>
      </c>
      <c r="C291" s="1" t="s">
        <v>15</v>
      </c>
      <c r="D291" s="1" t="s">
        <v>16</v>
      </c>
      <c r="E291" s="1">
        <v>68909.259999999995</v>
      </c>
      <c r="F291" s="1">
        <v>7794</v>
      </c>
      <c r="G291" s="1">
        <v>0.28399999999999997</v>
      </c>
      <c r="H291" s="1">
        <v>22</v>
      </c>
      <c r="I291" s="1">
        <v>89</v>
      </c>
      <c r="J291" s="1">
        <v>0.33</v>
      </c>
      <c r="K291" s="1">
        <v>0</v>
      </c>
      <c r="L291" s="1">
        <v>4</v>
      </c>
      <c r="M291" s="1">
        <v>696261.49</v>
      </c>
      <c r="N291" s="1">
        <v>72455.350000000006</v>
      </c>
    </row>
    <row r="292" spans="1:14">
      <c r="A292" s="1" t="s">
        <v>94</v>
      </c>
      <c r="B292" s="3">
        <v>45717</v>
      </c>
      <c r="C292" s="1" t="s">
        <v>15</v>
      </c>
      <c r="D292" s="1" t="s">
        <v>16</v>
      </c>
      <c r="E292" s="1">
        <v>56737.3</v>
      </c>
      <c r="F292" s="1">
        <v>8300</v>
      </c>
      <c r="G292" s="1">
        <v>3.2000000000000001E-2</v>
      </c>
      <c r="H292" s="1">
        <v>21</v>
      </c>
      <c r="I292" s="1">
        <v>83.2</v>
      </c>
      <c r="J292" s="1">
        <v>3.44</v>
      </c>
      <c r="K292" s="1">
        <v>1</v>
      </c>
      <c r="L292" s="1">
        <v>4.3</v>
      </c>
      <c r="M292" s="1">
        <v>813316.71</v>
      </c>
      <c r="N292" s="1">
        <v>110077.42</v>
      </c>
    </row>
    <row r="293" spans="1:14">
      <c r="A293" s="1" t="s">
        <v>94</v>
      </c>
      <c r="B293" s="3">
        <v>45748</v>
      </c>
      <c r="C293" s="1" t="s">
        <v>15</v>
      </c>
      <c r="D293" s="1" t="s">
        <v>16</v>
      </c>
      <c r="E293" s="1">
        <v>54080.91</v>
      </c>
      <c r="F293" s="1">
        <v>7083</v>
      </c>
      <c r="G293" s="1">
        <v>0</v>
      </c>
      <c r="H293" s="1">
        <v>15</v>
      </c>
      <c r="I293" s="1">
        <v>97</v>
      </c>
      <c r="J293" s="1">
        <v>5.33</v>
      </c>
      <c r="K293" s="1">
        <v>0</v>
      </c>
      <c r="L293" s="1">
        <v>4.0999999999999996</v>
      </c>
      <c r="M293" s="1">
        <v>702068.92</v>
      </c>
      <c r="N293" s="1">
        <v>111266.63</v>
      </c>
    </row>
    <row r="294" spans="1:14">
      <c r="A294" s="1" t="s">
        <v>95</v>
      </c>
      <c r="B294" s="3">
        <v>45658</v>
      </c>
      <c r="C294" s="1" t="s">
        <v>27</v>
      </c>
      <c r="D294" s="1" t="s">
        <v>18</v>
      </c>
      <c r="E294" s="1">
        <v>51996.32</v>
      </c>
      <c r="F294" s="1">
        <v>3834</v>
      </c>
      <c r="G294" s="1">
        <v>9.6000000000000002E-2</v>
      </c>
      <c r="H294" s="1">
        <v>8</v>
      </c>
      <c r="I294" s="1">
        <v>86.7</v>
      </c>
      <c r="J294" s="1">
        <v>6.04</v>
      </c>
      <c r="K294" s="1">
        <v>0</v>
      </c>
      <c r="L294" s="1">
        <v>4.5</v>
      </c>
      <c r="M294" s="1">
        <v>546223.69999999995</v>
      </c>
      <c r="N294" s="1">
        <v>100769.17</v>
      </c>
    </row>
    <row r="295" spans="1:14">
      <c r="A295" s="1" t="s">
        <v>95</v>
      </c>
      <c r="B295" s="3">
        <v>45689</v>
      </c>
      <c r="C295" s="1" t="s">
        <v>27</v>
      </c>
      <c r="D295" s="1" t="s">
        <v>18</v>
      </c>
      <c r="E295" s="1">
        <v>40102.879999999997</v>
      </c>
      <c r="F295" s="1">
        <v>2358</v>
      </c>
      <c r="G295" s="1">
        <v>0.11899999999999999</v>
      </c>
      <c r="H295" s="1">
        <v>9</v>
      </c>
      <c r="I295" s="1">
        <v>88.7</v>
      </c>
      <c r="J295" s="1">
        <v>1.6</v>
      </c>
      <c r="K295" s="1">
        <v>0</v>
      </c>
      <c r="L295" s="1">
        <v>4.2</v>
      </c>
      <c r="M295" s="1">
        <v>533121.26</v>
      </c>
      <c r="N295" s="1">
        <v>55063.39</v>
      </c>
    </row>
    <row r="296" spans="1:14">
      <c r="A296" s="1" t="s">
        <v>95</v>
      </c>
      <c r="B296" s="3">
        <v>45717</v>
      </c>
      <c r="C296" s="1" t="s">
        <v>27</v>
      </c>
      <c r="D296" s="1" t="s">
        <v>18</v>
      </c>
      <c r="E296" s="1">
        <v>59825.51</v>
      </c>
      <c r="F296" s="1">
        <v>1231</v>
      </c>
      <c r="G296" s="1">
        <v>0.214</v>
      </c>
      <c r="H296" s="1">
        <v>10</v>
      </c>
      <c r="I296" s="1">
        <v>84.8</v>
      </c>
      <c r="J296" s="1">
        <v>8.9600000000000009</v>
      </c>
      <c r="K296" s="1">
        <v>0</v>
      </c>
      <c r="L296" s="1">
        <v>4.7</v>
      </c>
      <c r="M296" s="1">
        <v>498970.32</v>
      </c>
      <c r="N296" s="1">
        <v>69656.7</v>
      </c>
    </row>
    <row r="297" spans="1:14">
      <c r="A297" s="1" t="s">
        <v>95</v>
      </c>
      <c r="B297" s="3">
        <v>45748</v>
      </c>
      <c r="C297" s="1" t="s">
        <v>27</v>
      </c>
      <c r="D297" s="1" t="s">
        <v>18</v>
      </c>
      <c r="E297" s="1">
        <v>27398.28</v>
      </c>
      <c r="F297" s="1">
        <v>1723</v>
      </c>
      <c r="G297" s="1">
        <v>0.17100000000000001</v>
      </c>
      <c r="H297" s="1">
        <v>9</v>
      </c>
      <c r="I297" s="1">
        <v>81</v>
      </c>
      <c r="J297" s="1">
        <v>0.74</v>
      </c>
      <c r="K297" s="1">
        <v>0</v>
      </c>
      <c r="L297" s="1">
        <v>4.5999999999999996</v>
      </c>
      <c r="M297" s="1">
        <v>487738.26</v>
      </c>
      <c r="N297" s="1">
        <v>96435.6</v>
      </c>
    </row>
    <row r="298" spans="1:14">
      <c r="A298" s="1" t="s">
        <v>96</v>
      </c>
      <c r="B298" s="3">
        <v>45658</v>
      </c>
      <c r="C298" s="1" t="s">
        <v>27</v>
      </c>
      <c r="D298" s="1" t="s">
        <v>18</v>
      </c>
      <c r="E298" s="1">
        <v>55599.56</v>
      </c>
      <c r="F298" s="1">
        <v>5896</v>
      </c>
      <c r="G298" s="1">
        <v>3.5999999999999997E-2</v>
      </c>
      <c r="H298" s="1">
        <v>12</v>
      </c>
      <c r="I298" s="1">
        <v>93.1</v>
      </c>
      <c r="J298" s="1">
        <v>6.13</v>
      </c>
      <c r="K298" s="1">
        <v>0</v>
      </c>
      <c r="L298" s="1">
        <v>3.3</v>
      </c>
      <c r="M298" s="1">
        <v>668459.37</v>
      </c>
      <c r="N298" s="1">
        <v>126435.42</v>
      </c>
    </row>
    <row r="299" spans="1:14">
      <c r="A299" s="1" t="s">
        <v>96</v>
      </c>
      <c r="B299" s="3">
        <v>45689</v>
      </c>
      <c r="C299" s="1" t="s">
        <v>27</v>
      </c>
      <c r="D299" s="1" t="s">
        <v>18</v>
      </c>
      <c r="E299" s="1">
        <v>55477.61</v>
      </c>
      <c r="F299" s="1">
        <v>5903</v>
      </c>
      <c r="G299" s="1">
        <v>0.10199999999999999</v>
      </c>
      <c r="H299" s="1">
        <v>14</v>
      </c>
      <c r="I299" s="1">
        <v>96.2</v>
      </c>
      <c r="J299" s="1">
        <v>1.41</v>
      </c>
      <c r="K299" s="1">
        <v>0</v>
      </c>
      <c r="L299" s="1">
        <v>3.3</v>
      </c>
      <c r="M299" s="1">
        <v>763162.45</v>
      </c>
      <c r="N299" s="1">
        <v>162524.04999999999</v>
      </c>
    </row>
    <row r="300" spans="1:14">
      <c r="A300" s="1" t="s">
        <v>96</v>
      </c>
      <c r="B300" s="3">
        <v>45717</v>
      </c>
      <c r="C300" s="1" t="s">
        <v>27</v>
      </c>
      <c r="D300" s="1" t="s">
        <v>18</v>
      </c>
      <c r="E300" s="1">
        <v>46174.7</v>
      </c>
      <c r="F300" s="1">
        <v>4898</v>
      </c>
      <c r="G300" s="1">
        <v>0.114</v>
      </c>
      <c r="H300" s="1">
        <v>11</v>
      </c>
      <c r="I300" s="1">
        <v>91.7</v>
      </c>
      <c r="J300" s="1">
        <v>3.75</v>
      </c>
      <c r="K300" s="1">
        <v>0</v>
      </c>
      <c r="L300" s="1">
        <v>3.1</v>
      </c>
      <c r="M300" s="1">
        <v>599017.32999999996</v>
      </c>
      <c r="N300" s="1">
        <v>134009.92000000001</v>
      </c>
    </row>
    <row r="301" spans="1:14">
      <c r="A301" s="1" t="s">
        <v>96</v>
      </c>
      <c r="B301" s="3">
        <v>45748</v>
      </c>
      <c r="C301" s="1" t="s">
        <v>27</v>
      </c>
      <c r="D301" s="1" t="s">
        <v>18</v>
      </c>
      <c r="E301" s="1">
        <v>24362.98</v>
      </c>
      <c r="F301" s="1">
        <v>1462</v>
      </c>
      <c r="G301" s="1">
        <v>0.11700000000000001</v>
      </c>
      <c r="H301" s="1">
        <v>6</v>
      </c>
      <c r="I301" s="1">
        <v>89.3</v>
      </c>
      <c r="J301" s="1">
        <v>15.06</v>
      </c>
      <c r="K301" s="1">
        <v>0</v>
      </c>
      <c r="L301" s="1">
        <v>3.2</v>
      </c>
      <c r="M301" s="1">
        <v>401582.58</v>
      </c>
      <c r="N301" s="1">
        <v>68454.929999999993</v>
      </c>
    </row>
    <row r="302" spans="1:14">
      <c r="A302" s="1" t="s">
        <v>97</v>
      </c>
      <c r="B302" s="3">
        <v>45658</v>
      </c>
      <c r="C302" s="1" t="s">
        <v>20</v>
      </c>
      <c r="D302" s="1" t="s">
        <v>28</v>
      </c>
      <c r="E302" s="1">
        <v>40647.67</v>
      </c>
      <c r="F302" s="1">
        <v>8252</v>
      </c>
      <c r="G302" s="1">
        <v>0.14099999999999999</v>
      </c>
      <c r="H302" s="1">
        <v>22</v>
      </c>
      <c r="I302" s="1">
        <v>88.2</v>
      </c>
      <c r="J302" s="1">
        <v>5.07</v>
      </c>
      <c r="K302" s="1">
        <v>1</v>
      </c>
      <c r="L302" s="1">
        <v>4.0999999999999996</v>
      </c>
      <c r="M302" s="1">
        <v>703812.99</v>
      </c>
      <c r="N302" s="1">
        <v>133577.98000000001</v>
      </c>
    </row>
    <row r="303" spans="1:14">
      <c r="A303" s="1" t="s">
        <v>97</v>
      </c>
      <c r="B303" s="3">
        <v>45689</v>
      </c>
      <c r="C303" s="1" t="s">
        <v>20</v>
      </c>
      <c r="D303" s="1" t="s">
        <v>28</v>
      </c>
      <c r="E303" s="1">
        <v>63986.98</v>
      </c>
      <c r="F303" s="1">
        <v>7989</v>
      </c>
      <c r="G303" s="1">
        <v>7.3999999999999996E-2</v>
      </c>
      <c r="H303" s="1">
        <v>20</v>
      </c>
      <c r="I303" s="1">
        <v>83.3</v>
      </c>
      <c r="J303" s="1">
        <v>3.6</v>
      </c>
      <c r="K303" s="1">
        <v>0</v>
      </c>
      <c r="L303" s="1">
        <v>3.7</v>
      </c>
      <c r="M303" s="1">
        <v>724346.73</v>
      </c>
      <c r="N303" s="1">
        <v>155013.91</v>
      </c>
    </row>
    <row r="304" spans="1:14">
      <c r="A304" s="1" t="s">
        <v>97</v>
      </c>
      <c r="B304" s="3">
        <v>45717</v>
      </c>
      <c r="C304" s="1" t="s">
        <v>20</v>
      </c>
      <c r="D304" s="1" t="s">
        <v>28</v>
      </c>
      <c r="E304" s="1">
        <v>52843.75</v>
      </c>
      <c r="F304" s="1">
        <v>8268</v>
      </c>
      <c r="G304" s="1">
        <v>0.13800000000000001</v>
      </c>
      <c r="H304" s="1">
        <v>19</v>
      </c>
      <c r="I304" s="1">
        <v>87.3</v>
      </c>
      <c r="J304" s="1">
        <v>4.3899999999999997</v>
      </c>
      <c r="K304" s="1">
        <v>1</v>
      </c>
      <c r="L304" s="1">
        <v>4.7</v>
      </c>
      <c r="M304" s="1">
        <v>730890.01</v>
      </c>
      <c r="N304" s="1">
        <v>105502.56</v>
      </c>
    </row>
    <row r="305" spans="1:14">
      <c r="A305" s="1" t="s">
        <v>97</v>
      </c>
      <c r="B305" s="3">
        <v>45748</v>
      </c>
      <c r="C305" s="1" t="s">
        <v>20</v>
      </c>
      <c r="D305" s="1" t="s">
        <v>28</v>
      </c>
      <c r="E305" s="1">
        <v>31997.25</v>
      </c>
      <c r="F305" s="1">
        <v>8183</v>
      </c>
      <c r="G305" s="1">
        <v>0.19800000000000001</v>
      </c>
      <c r="H305" s="1">
        <v>18</v>
      </c>
      <c r="I305" s="1">
        <v>93</v>
      </c>
      <c r="J305" s="1">
        <v>2.79</v>
      </c>
      <c r="K305" s="1">
        <v>0</v>
      </c>
      <c r="L305" s="1">
        <v>4.2</v>
      </c>
      <c r="M305" s="1">
        <v>780580.95</v>
      </c>
      <c r="N305" s="1">
        <v>138144.46</v>
      </c>
    </row>
    <row r="306" spans="1:14">
      <c r="A306" s="1" t="s">
        <v>98</v>
      </c>
      <c r="B306" s="3">
        <v>45658</v>
      </c>
      <c r="C306" s="1" t="s">
        <v>24</v>
      </c>
      <c r="D306" s="1" t="s">
        <v>16</v>
      </c>
      <c r="E306" s="1">
        <v>54948.02</v>
      </c>
      <c r="F306" s="1">
        <v>6534</v>
      </c>
      <c r="G306" s="1">
        <v>0.183</v>
      </c>
      <c r="H306" s="1">
        <v>14</v>
      </c>
      <c r="I306" s="1">
        <v>94.5</v>
      </c>
      <c r="J306" s="1">
        <v>1.56</v>
      </c>
      <c r="K306" s="1">
        <v>0</v>
      </c>
      <c r="L306" s="1">
        <v>4</v>
      </c>
      <c r="M306" s="1">
        <v>727957.48</v>
      </c>
      <c r="N306" s="1">
        <v>74805.23</v>
      </c>
    </row>
    <row r="307" spans="1:14">
      <c r="A307" s="1" t="s">
        <v>98</v>
      </c>
      <c r="B307" s="3">
        <v>45689</v>
      </c>
      <c r="C307" s="1" t="s">
        <v>24</v>
      </c>
      <c r="D307" s="1" t="s">
        <v>16</v>
      </c>
      <c r="E307" s="1">
        <v>46146.239999999998</v>
      </c>
      <c r="F307" s="1">
        <v>5804</v>
      </c>
      <c r="G307" s="1">
        <v>4.7E-2</v>
      </c>
      <c r="H307" s="1">
        <v>16</v>
      </c>
      <c r="I307" s="1">
        <v>86.9</v>
      </c>
      <c r="J307" s="1">
        <v>15.82</v>
      </c>
      <c r="K307" s="1">
        <v>0</v>
      </c>
      <c r="L307" s="1">
        <v>3.8</v>
      </c>
      <c r="M307" s="1">
        <v>538376</v>
      </c>
      <c r="N307" s="1">
        <v>87605.62</v>
      </c>
    </row>
    <row r="308" spans="1:14">
      <c r="A308" s="1" t="s">
        <v>98</v>
      </c>
      <c r="B308" s="3">
        <v>45717</v>
      </c>
      <c r="C308" s="1" t="s">
        <v>24</v>
      </c>
      <c r="D308" s="1" t="s">
        <v>16</v>
      </c>
      <c r="E308" s="1">
        <v>22387.26</v>
      </c>
      <c r="F308" s="1">
        <v>6301</v>
      </c>
      <c r="G308" s="1">
        <v>0.14599999999999999</v>
      </c>
      <c r="H308" s="1">
        <v>14</v>
      </c>
      <c r="I308" s="1">
        <v>85.9</v>
      </c>
      <c r="J308" s="1">
        <v>1.17</v>
      </c>
      <c r="K308" s="1">
        <v>1</v>
      </c>
      <c r="L308" s="1">
        <v>3.7</v>
      </c>
      <c r="M308" s="1">
        <v>665342.49</v>
      </c>
      <c r="N308" s="1">
        <v>93441.81</v>
      </c>
    </row>
    <row r="309" spans="1:14">
      <c r="A309" s="1" t="s">
        <v>98</v>
      </c>
      <c r="B309" s="3">
        <v>45748</v>
      </c>
      <c r="C309" s="1" t="s">
        <v>24</v>
      </c>
      <c r="D309" s="1" t="s">
        <v>16</v>
      </c>
      <c r="E309" s="1">
        <v>60684.05</v>
      </c>
      <c r="F309" s="1">
        <v>6399</v>
      </c>
      <c r="G309" s="1">
        <v>7.4999999999999997E-2</v>
      </c>
      <c r="H309" s="1">
        <v>16</v>
      </c>
      <c r="I309" s="1">
        <v>99</v>
      </c>
      <c r="J309" s="1">
        <v>3.82</v>
      </c>
      <c r="K309" s="1">
        <v>0</v>
      </c>
      <c r="L309" s="1">
        <v>3.5</v>
      </c>
      <c r="M309" s="1">
        <v>651164.18000000005</v>
      </c>
      <c r="N309" s="1">
        <v>109466.5</v>
      </c>
    </row>
    <row r="310" spans="1:14">
      <c r="A310" s="1" t="s">
        <v>99</v>
      </c>
      <c r="B310" s="3">
        <v>45658</v>
      </c>
      <c r="C310" s="1" t="s">
        <v>24</v>
      </c>
      <c r="D310" s="1" t="s">
        <v>18</v>
      </c>
      <c r="E310" s="1">
        <v>48465.599999999999</v>
      </c>
      <c r="F310" s="1">
        <v>5759</v>
      </c>
      <c r="G310" s="1">
        <v>0.154</v>
      </c>
      <c r="H310" s="1">
        <v>13</v>
      </c>
      <c r="I310" s="1">
        <v>87.5</v>
      </c>
      <c r="J310" s="1">
        <v>4.1399999999999997</v>
      </c>
      <c r="K310" s="1">
        <v>0</v>
      </c>
      <c r="L310" s="1">
        <v>4</v>
      </c>
      <c r="M310" s="1">
        <v>628538.30000000005</v>
      </c>
      <c r="N310" s="1">
        <v>112509.15</v>
      </c>
    </row>
    <row r="311" spans="1:14">
      <c r="A311" s="1" t="s">
        <v>99</v>
      </c>
      <c r="B311" s="3">
        <v>45689</v>
      </c>
      <c r="C311" s="1" t="s">
        <v>24</v>
      </c>
      <c r="D311" s="1" t="s">
        <v>18</v>
      </c>
      <c r="E311" s="1">
        <v>23702.38</v>
      </c>
      <c r="F311" s="1">
        <v>5285</v>
      </c>
      <c r="G311" s="1">
        <v>0.16700000000000001</v>
      </c>
      <c r="H311" s="1">
        <v>14</v>
      </c>
      <c r="I311" s="1">
        <v>79.7</v>
      </c>
      <c r="J311" s="1">
        <v>1.1000000000000001</v>
      </c>
      <c r="K311" s="1">
        <v>0</v>
      </c>
      <c r="L311" s="1">
        <v>4.3</v>
      </c>
      <c r="M311" s="1">
        <v>536524.84</v>
      </c>
      <c r="N311" s="1">
        <v>92752.94</v>
      </c>
    </row>
    <row r="312" spans="1:14">
      <c r="A312" s="1" t="s">
        <v>99</v>
      </c>
      <c r="B312" s="3">
        <v>45717</v>
      </c>
      <c r="C312" s="1" t="s">
        <v>24</v>
      </c>
      <c r="D312" s="1" t="s">
        <v>18</v>
      </c>
      <c r="E312" s="1">
        <v>54322.94</v>
      </c>
      <c r="F312" s="1">
        <v>5434</v>
      </c>
      <c r="G312" s="1">
        <v>0.2</v>
      </c>
      <c r="H312" s="1">
        <v>13</v>
      </c>
      <c r="I312" s="1">
        <v>85.7</v>
      </c>
      <c r="J312" s="1">
        <v>10.6</v>
      </c>
      <c r="K312" s="1">
        <v>0</v>
      </c>
      <c r="L312" s="1">
        <v>4.2</v>
      </c>
      <c r="M312" s="1">
        <v>621677.30000000005</v>
      </c>
      <c r="N312" s="1">
        <v>105192.52</v>
      </c>
    </row>
    <row r="313" spans="1:14">
      <c r="A313" s="1" t="s">
        <v>99</v>
      </c>
      <c r="B313" s="3">
        <v>45748</v>
      </c>
      <c r="C313" s="1" t="s">
        <v>24</v>
      </c>
      <c r="D313" s="1" t="s">
        <v>18</v>
      </c>
      <c r="E313" s="1">
        <v>86026.58</v>
      </c>
      <c r="F313" s="1">
        <v>7479</v>
      </c>
      <c r="G313" s="1">
        <v>0.14199999999999999</v>
      </c>
      <c r="H313" s="1">
        <v>20</v>
      </c>
      <c r="I313" s="1">
        <v>89</v>
      </c>
      <c r="J313" s="1">
        <v>0.9</v>
      </c>
      <c r="K313" s="1">
        <v>0</v>
      </c>
      <c r="L313" s="1"/>
      <c r="M313" s="1">
        <v>771129.07</v>
      </c>
      <c r="N313" s="1">
        <v>116851.13</v>
      </c>
    </row>
    <row r="314" spans="1:14">
      <c r="A314" s="1" t="s">
        <v>100</v>
      </c>
      <c r="B314" s="3">
        <v>45658</v>
      </c>
      <c r="C314" s="1" t="s">
        <v>20</v>
      </c>
      <c r="D314" s="1" t="s">
        <v>16</v>
      </c>
      <c r="E314" s="1">
        <v>78967.520000000004</v>
      </c>
      <c r="F314" s="1">
        <v>6164</v>
      </c>
      <c r="G314" s="1">
        <v>2.1000000000000001E-2</v>
      </c>
      <c r="H314" s="1">
        <v>16</v>
      </c>
      <c r="I314" s="1">
        <v>85.5</v>
      </c>
      <c r="J314" s="1">
        <v>0.2</v>
      </c>
      <c r="K314" s="1">
        <v>0</v>
      </c>
      <c r="L314" s="1">
        <v>3.4</v>
      </c>
      <c r="M314" s="1">
        <v>702052.47</v>
      </c>
      <c r="N314" s="1">
        <v>121732.51</v>
      </c>
    </row>
    <row r="315" spans="1:14">
      <c r="A315" s="1" t="s">
        <v>100</v>
      </c>
      <c r="B315" s="3">
        <v>45689</v>
      </c>
      <c r="C315" s="1" t="s">
        <v>20</v>
      </c>
      <c r="D315" s="1" t="s">
        <v>16</v>
      </c>
      <c r="E315" s="1">
        <v>46767.99</v>
      </c>
      <c r="F315" s="1">
        <v>7973</v>
      </c>
      <c r="G315" s="1">
        <v>0.183</v>
      </c>
      <c r="H315" s="1">
        <v>18</v>
      </c>
      <c r="I315" s="1">
        <v>94.8</v>
      </c>
      <c r="J315" s="1">
        <v>4.67</v>
      </c>
      <c r="K315" s="1">
        <v>0</v>
      </c>
      <c r="L315" s="1"/>
      <c r="M315" s="1">
        <v>688368.46</v>
      </c>
      <c r="N315" s="1">
        <v>93588.42</v>
      </c>
    </row>
    <row r="316" spans="1:14">
      <c r="A316" s="1" t="s">
        <v>100</v>
      </c>
      <c r="B316" s="3">
        <v>45717</v>
      </c>
      <c r="C316" s="1" t="s">
        <v>20</v>
      </c>
      <c r="D316" s="1" t="s">
        <v>16</v>
      </c>
      <c r="E316" s="1">
        <v>62507.16</v>
      </c>
      <c r="F316" s="1">
        <v>6000</v>
      </c>
      <c r="G316" s="1">
        <v>9.0999999999999998E-2</v>
      </c>
      <c r="H316" s="1">
        <v>14</v>
      </c>
      <c r="I316" s="1">
        <v>98.2</v>
      </c>
      <c r="J316" s="1">
        <v>4.38</v>
      </c>
      <c r="K316" s="1">
        <v>1</v>
      </c>
      <c r="L316" s="1">
        <v>3.9</v>
      </c>
      <c r="M316" s="1">
        <v>712375.77</v>
      </c>
      <c r="N316" s="1">
        <v>104171.53</v>
      </c>
    </row>
    <row r="317" spans="1:14">
      <c r="A317" s="1" t="s">
        <v>100</v>
      </c>
      <c r="B317" s="3">
        <v>45748</v>
      </c>
      <c r="C317" s="1" t="s">
        <v>20</v>
      </c>
      <c r="D317" s="1" t="s">
        <v>16</v>
      </c>
      <c r="E317" s="1">
        <v>66456.28</v>
      </c>
      <c r="F317" s="1">
        <v>9967</v>
      </c>
      <c r="G317" s="1">
        <v>0.108</v>
      </c>
      <c r="H317" s="1">
        <v>20</v>
      </c>
      <c r="I317" s="1">
        <v>94.7</v>
      </c>
      <c r="J317" s="1">
        <v>4.4800000000000004</v>
      </c>
      <c r="K317" s="1">
        <v>0</v>
      </c>
      <c r="L317" s="1">
        <v>4.2</v>
      </c>
      <c r="M317" s="1">
        <v>844710.67</v>
      </c>
      <c r="N317" s="1">
        <v>137140.18</v>
      </c>
    </row>
    <row r="318" spans="1:14">
      <c r="A318" s="1" t="s">
        <v>101</v>
      </c>
      <c r="B318" s="3">
        <v>45658</v>
      </c>
      <c r="C318" s="1" t="s">
        <v>15</v>
      </c>
      <c r="D318" s="1" t="s">
        <v>16</v>
      </c>
      <c r="E318" s="1">
        <v>76614.320000000007</v>
      </c>
      <c r="F318" s="1">
        <v>5639</v>
      </c>
      <c r="G318" s="1">
        <v>0.17399999999999999</v>
      </c>
      <c r="H318" s="1">
        <v>15</v>
      </c>
      <c r="I318" s="1">
        <v>92.9</v>
      </c>
      <c r="J318" s="1">
        <v>1.02</v>
      </c>
      <c r="K318" s="1">
        <v>1</v>
      </c>
      <c r="L318" s="1">
        <v>4</v>
      </c>
      <c r="M318" s="1">
        <v>620264.19999999995</v>
      </c>
      <c r="N318" s="1">
        <v>91365.64</v>
      </c>
    </row>
    <row r="319" spans="1:14">
      <c r="A319" s="1" t="s">
        <v>101</v>
      </c>
      <c r="B319" s="3">
        <v>45689</v>
      </c>
      <c r="C319" s="1" t="s">
        <v>15</v>
      </c>
      <c r="D319" s="1" t="s">
        <v>16</v>
      </c>
      <c r="E319" s="1">
        <v>24088.06</v>
      </c>
      <c r="F319" s="1">
        <v>3466</v>
      </c>
      <c r="G319" s="1">
        <v>0</v>
      </c>
      <c r="H319" s="1">
        <v>11</v>
      </c>
      <c r="I319" s="1">
        <v>88</v>
      </c>
      <c r="J319" s="1">
        <v>0.2</v>
      </c>
      <c r="K319" s="1">
        <v>0</v>
      </c>
      <c r="L319" s="1">
        <v>3.8</v>
      </c>
      <c r="M319" s="1">
        <v>536845.42000000004</v>
      </c>
      <c r="N319" s="1">
        <v>107473.75</v>
      </c>
    </row>
    <row r="320" spans="1:14">
      <c r="A320" s="1" t="s">
        <v>101</v>
      </c>
      <c r="B320" s="3">
        <v>45717</v>
      </c>
      <c r="C320" s="1" t="s">
        <v>15</v>
      </c>
      <c r="D320" s="1" t="s">
        <v>16</v>
      </c>
      <c r="E320" s="1">
        <v>81902.58</v>
      </c>
      <c r="F320" s="1">
        <v>7775</v>
      </c>
      <c r="G320" s="1">
        <v>0.215</v>
      </c>
      <c r="H320" s="1">
        <v>20</v>
      </c>
      <c r="I320" s="1">
        <v>85.2</v>
      </c>
      <c r="J320" s="1">
        <v>4.8899999999999997</v>
      </c>
      <c r="K320" s="1">
        <v>1</v>
      </c>
      <c r="L320" s="1">
        <v>4.2</v>
      </c>
      <c r="M320" s="1">
        <v>726776.22</v>
      </c>
      <c r="N320" s="1">
        <v>90804.49</v>
      </c>
    </row>
    <row r="321" spans="1:14">
      <c r="A321" s="1" t="s">
        <v>101</v>
      </c>
      <c r="B321" s="3">
        <v>45748</v>
      </c>
      <c r="C321" s="1" t="s">
        <v>15</v>
      </c>
      <c r="D321" s="1" t="s">
        <v>16</v>
      </c>
      <c r="E321" s="1">
        <v>40553.11</v>
      </c>
      <c r="F321" s="1">
        <v>5317</v>
      </c>
      <c r="G321" s="1">
        <v>0.16500000000000001</v>
      </c>
      <c r="H321" s="1">
        <v>17</v>
      </c>
      <c r="I321" s="1">
        <v>84.3</v>
      </c>
      <c r="J321" s="1">
        <v>11.82</v>
      </c>
      <c r="K321" s="1">
        <v>0</v>
      </c>
      <c r="L321" s="1">
        <v>4.0999999999999996</v>
      </c>
      <c r="M321" s="1">
        <v>559660.84</v>
      </c>
      <c r="N321" s="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1685D-DC85-4345-8297-79EE7D9CA91F}">
  <dimension ref="A1:N321"/>
  <sheetViews>
    <sheetView zoomScale="90" zoomScaleNormal="90" workbookViewId="0">
      <selection activeCell="O13" sqref="O13"/>
    </sheetView>
  </sheetViews>
  <sheetFormatPr defaultRowHeight="14.5"/>
  <cols>
    <col min="4" max="4" width="16.7265625" customWidth="1"/>
  </cols>
  <sheetData>
    <row r="1" spans="1:14" ht="5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" t="s">
        <v>14</v>
      </c>
      <c r="B2" s="3">
        <v>45658</v>
      </c>
      <c r="C2" s="1" t="s">
        <v>15</v>
      </c>
      <c r="D2" s="1" t="s">
        <v>16</v>
      </c>
      <c r="E2" s="1">
        <v>70389.11</v>
      </c>
      <c r="F2" s="1">
        <v>8302</v>
      </c>
      <c r="G2" s="1">
        <v>4.2000000000000003E-2</v>
      </c>
      <c r="H2" s="1">
        <v>17</v>
      </c>
      <c r="I2" s="1">
        <v>75</v>
      </c>
      <c r="J2" s="1">
        <v>5.28</v>
      </c>
      <c r="K2" s="1">
        <v>1</v>
      </c>
      <c r="L2" s="1">
        <v>3.1</v>
      </c>
      <c r="M2" s="1">
        <v>658832.62</v>
      </c>
      <c r="N2" s="1">
        <v>84349.93</v>
      </c>
    </row>
    <row r="3" spans="1:14">
      <c r="A3" s="1" t="s">
        <v>14</v>
      </c>
      <c r="B3" s="3">
        <v>45689</v>
      </c>
      <c r="C3" s="1" t="s">
        <v>15</v>
      </c>
      <c r="D3" s="1" t="s">
        <v>16</v>
      </c>
      <c r="E3" s="1">
        <v>43827.89</v>
      </c>
      <c r="F3" s="1">
        <v>8487</v>
      </c>
      <c r="G3" s="1">
        <v>0.16800000000000001</v>
      </c>
      <c r="H3" s="1">
        <v>23</v>
      </c>
      <c r="I3" s="1">
        <v>84.4</v>
      </c>
      <c r="J3" s="1">
        <v>4.3099999999999996</v>
      </c>
      <c r="K3" s="1">
        <v>0</v>
      </c>
      <c r="L3" s="1">
        <v>2.8</v>
      </c>
      <c r="M3" s="1">
        <v>634436</v>
      </c>
      <c r="N3" s="1">
        <v>106130.54</v>
      </c>
    </row>
    <row r="4" spans="1:14">
      <c r="A4" s="1" t="s">
        <v>14</v>
      </c>
      <c r="B4" s="3">
        <v>45717</v>
      </c>
      <c r="C4" s="1" t="s">
        <v>15</v>
      </c>
      <c r="D4" s="1" t="s">
        <v>16</v>
      </c>
      <c r="E4" s="1">
        <v>59921.75</v>
      </c>
      <c r="F4" s="1">
        <v>9113</v>
      </c>
      <c r="G4" s="1">
        <v>0.13300000000000001</v>
      </c>
      <c r="H4" s="1">
        <v>20</v>
      </c>
      <c r="I4" s="1">
        <v>88</v>
      </c>
      <c r="J4" s="1">
        <v>12</v>
      </c>
      <c r="K4" s="1">
        <v>0</v>
      </c>
      <c r="L4" s="1">
        <v>3.2</v>
      </c>
      <c r="M4" s="1">
        <v>678722.06</v>
      </c>
      <c r="N4" s="1">
        <v>101883.86</v>
      </c>
    </row>
    <row r="5" spans="1:14">
      <c r="A5" s="1" t="s">
        <v>14</v>
      </c>
      <c r="B5" s="3">
        <v>45748</v>
      </c>
      <c r="C5" s="1" t="s">
        <v>15</v>
      </c>
      <c r="D5" s="1" t="s">
        <v>16</v>
      </c>
      <c r="E5" s="1">
        <v>56856.63</v>
      </c>
      <c r="F5" s="1">
        <v>9431</v>
      </c>
      <c r="G5" s="1">
        <v>0.14199999999999999</v>
      </c>
      <c r="H5" s="1">
        <v>23</v>
      </c>
      <c r="I5" s="1">
        <v>86.9</v>
      </c>
      <c r="J5" s="1">
        <v>4.97</v>
      </c>
      <c r="K5" s="1">
        <v>0</v>
      </c>
      <c r="L5" s="1">
        <v>3.4</v>
      </c>
      <c r="M5" s="1">
        <v>658920.30000000005</v>
      </c>
      <c r="N5" s="1">
        <v>97910.37</v>
      </c>
    </row>
    <row r="6" spans="1:14">
      <c r="A6" s="1" t="s">
        <v>17</v>
      </c>
      <c r="B6" s="3">
        <v>45658</v>
      </c>
      <c r="C6" s="1" t="s">
        <v>15</v>
      </c>
      <c r="D6" s="1" t="s">
        <v>18</v>
      </c>
      <c r="E6" s="1">
        <v>48412.639999999999</v>
      </c>
      <c r="F6" s="1">
        <v>9545</v>
      </c>
      <c r="G6" s="1">
        <v>0.23100000000000001</v>
      </c>
      <c r="H6" s="1">
        <v>21</v>
      </c>
      <c r="I6" s="1">
        <v>97.6</v>
      </c>
      <c r="J6" s="1">
        <v>6.94</v>
      </c>
      <c r="K6" s="1">
        <v>1</v>
      </c>
      <c r="L6" s="1">
        <v>4.2</v>
      </c>
      <c r="M6" s="1">
        <v>741341.44</v>
      </c>
      <c r="N6" s="1">
        <v>119208.17</v>
      </c>
    </row>
    <row r="7" spans="1:14">
      <c r="A7" s="1" t="s">
        <v>17</v>
      </c>
      <c r="B7" s="3">
        <v>45689</v>
      </c>
      <c r="C7" s="1" t="s">
        <v>15</v>
      </c>
      <c r="D7" s="1" t="s">
        <v>18</v>
      </c>
      <c r="E7" s="1">
        <v>64811.21</v>
      </c>
      <c r="F7" s="1">
        <v>9792</v>
      </c>
      <c r="G7" s="1">
        <v>0.112</v>
      </c>
      <c r="H7" s="1">
        <v>20</v>
      </c>
      <c r="I7" s="1">
        <v>84.2</v>
      </c>
      <c r="J7" s="1">
        <v>2.88</v>
      </c>
      <c r="K7" s="1">
        <v>0</v>
      </c>
      <c r="L7" s="1">
        <v>4.2</v>
      </c>
      <c r="M7" s="1">
        <v>761835.34</v>
      </c>
      <c r="N7" s="1">
        <v>149602.23000000001</v>
      </c>
    </row>
    <row r="8" spans="1:14">
      <c r="A8" s="1" t="s">
        <v>17</v>
      </c>
      <c r="B8" s="3">
        <v>45717</v>
      </c>
      <c r="C8" s="1" t="s">
        <v>15</v>
      </c>
      <c r="D8" s="1" t="s">
        <v>18</v>
      </c>
      <c r="E8" s="1">
        <v>46213.45</v>
      </c>
      <c r="F8" s="1">
        <v>10616</v>
      </c>
      <c r="G8" s="1">
        <v>0.122</v>
      </c>
      <c r="H8" s="1">
        <v>22</v>
      </c>
      <c r="I8" s="1">
        <v>85.2</v>
      </c>
      <c r="J8" s="1">
        <v>0.2</v>
      </c>
      <c r="K8" s="1">
        <v>1</v>
      </c>
      <c r="L8" s="1">
        <v>4.0999999999999996</v>
      </c>
      <c r="M8" s="1">
        <v>806615.54</v>
      </c>
      <c r="N8" s="1">
        <v>131364.62</v>
      </c>
    </row>
    <row r="9" spans="1:14">
      <c r="A9" s="1" t="s">
        <v>17</v>
      </c>
      <c r="B9" s="3">
        <v>45748</v>
      </c>
      <c r="C9" s="1" t="s">
        <v>15</v>
      </c>
      <c r="D9" s="1" t="s">
        <v>18</v>
      </c>
      <c r="E9" s="1">
        <v>68148.52</v>
      </c>
      <c r="F9" s="1">
        <v>8567</v>
      </c>
      <c r="G9" s="1">
        <v>0.127</v>
      </c>
      <c r="H9" s="1">
        <v>23</v>
      </c>
      <c r="I9" s="1">
        <v>95.6</v>
      </c>
      <c r="J9" s="1">
        <v>0.8</v>
      </c>
      <c r="K9" s="1">
        <v>0</v>
      </c>
      <c r="L9" s="1">
        <v>3.9</v>
      </c>
      <c r="M9" s="1">
        <v>850164.26</v>
      </c>
      <c r="N9" s="1">
        <v>149262.75</v>
      </c>
    </row>
    <row r="10" spans="1:14">
      <c r="A10" s="1" t="s">
        <v>19</v>
      </c>
      <c r="B10" s="3">
        <v>45658</v>
      </c>
      <c r="C10" s="1" t="s">
        <v>20</v>
      </c>
      <c r="D10" s="1" t="s">
        <v>21</v>
      </c>
      <c r="E10" s="1">
        <v>71838.86</v>
      </c>
      <c r="F10" s="1">
        <v>10979</v>
      </c>
      <c r="G10" s="1">
        <v>0.215</v>
      </c>
      <c r="H10" s="1">
        <v>26</v>
      </c>
      <c r="I10" s="1">
        <v>88.6</v>
      </c>
      <c r="J10" s="1">
        <v>7.7</v>
      </c>
      <c r="K10" s="1">
        <v>1</v>
      </c>
      <c r="L10" s="1">
        <v>3.8</v>
      </c>
      <c r="M10" s="1">
        <v>930581.7</v>
      </c>
      <c r="N10" s="1">
        <v>136207.98000000001</v>
      </c>
    </row>
    <row r="11" spans="1:14">
      <c r="A11" s="1" t="s">
        <v>19</v>
      </c>
      <c r="B11" s="3">
        <v>45689</v>
      </c>
      <c r="C11" s="1" t="s">
        <v>20</v>
      </c>
      <c r="D11" s="1" t="s">
        <v>21</v>
      </c>
      <c r="E11" s="1">
        <v>68133.440000000002</v>
      </c>
      <c r="F11" s="1">
        <v>9459</v>
      </c>
      <c r="G11" s="1">
        <v>0.22</v>
      </c>
      <c r="H11" s="1">
        <v>21</v>
      </c>
      <c r="I11" s="1">
        <v>85</v>
      </c>
      <c r="J11" s="1">
        <v>1.91</v>
      </c>
      <c r="K11" s="1">
        <v>0</v>
      </c>
      <c r="L11" s="1">
        <v>4.2</v>
      </c>
      <c r="M11" s="1">
        <v>779010.94</v>
      </c>
      <c r="N11" s="1">
        <v>106328.09</v>
      </c>
    </row>
    <row r="12" spans="1:14">
      <c r="A12" s="1" t="s">
        <v>19</v>
      </c>
      <c r="B12" s="3">
        <v>45717</v>
      </c>
      <c r="C12" s="1" t="s">
        <v>20</v>
      </c>
      <c r="D12" s="1" t="s">
        <v>21</v>
      </c>
      <c r="E12" s="1">
        <v>34285.21</v>
      </c>
      <c r="F12" s="1">
        <v>9172</v>
      </c>
      <c r="G12" s="1">
        <v>0.21299999999999999</v>
      </c>
      <c r="H12" s="1">
        <v>22</v>
      </c>
      <c r="I12" s="1">
        <v>88.3</v>
      </c>
      <c r="J12" s="1">
        <v>10.46</v>
      </c>
      <c r="K12" s="1">
        <v>1</v>
      </c>
      <c r="L12" s="1">
        <v>3.8</v>
      </c>
      <c r="M12" s="1">
        <v>723060.76</v>
      </c>
      <c r="N12" s="1">
        <v>123131.24</v>
      </c>
    </row>
    <row r="13" spans="1:14">
      <c r="A13" s="1" t="s">
        <v>19</v>
      </c>
      <c r="B13" s="3">
        <v>45748</v>
      </c>
      <c r="C13" s="1" t="s">
        <v>20</v>
      </c>
      <c r="D13" s="1" t="s">
        <v>21</v>
      </c>
      <c r="E13" s="1">
        <v>67979.88</v>
      </c>
      <c r="F13" s="1">
        <v>11230</v>
      </c>
      <c r="G13" s="1">
        <v>2E-3</v>
      </c>
      <c r="H13" s="1">
        <v>28</v>
      </c>
      <c r="I13" s="1">
        <v>85.3</v>
      </c>
      <c r="J13" s="1">
        <v>7.16</v>
      </c>
      <c r="K13" s="1">
        <v>0</v>
      </c>
      <c r="L13" s="1">
        <v>3.8</v>
      </c>
      <c r="M13" s="1">
        <v>910791.94</v>
      </c>
      <c r="N13" s="1">
        <v>158891.28</v>
      </c>
    </row>
    <row r="14" spans="1:14">
      <c r="A14" s="1" t="s">
        <v>22</v>
      </c>
      <c r="B14" s="3">
        <v>45658</v>
      </c>
      <c r="C14" s="1" t="s">
        <v>15</v>
      </c>
      <c r="D14" s="1" t="s">
        <v>16</v>
      </c>
      <c r="E14" s="1">
        <v>71828.259999999995</v>
      </c>
      <c r="F14" s="1">
        <v>12775</v>
      </c>
      <c r="G14" s="1">
        <v>0.11600000000000001</v>
      </c>
      <c r="H14" s="1">
        <v>30</v>
      </c>
      <c r="I14" s="1">
        <v>81.7</v>
      </c>
      <c r="J14" s="1">
        <v>4.24</v>
      </c>
      <c r="K14" s="1">
        <v>1</v>
      </c>
      <c r="L14" s="1">
        <v>4.2</v>
      </c>
      <c r="M14" s="1">
        <v>922168.6</v>
      </c>
      <c r="N14" s="1">
        <v>107494.53</v>
      </c>
    </row>
    <row r="15" spans="1:14">
      <c r="A15" s="1" t="s">
        <v>22</v>
      </c>
      <c r="B15" s="3">
        <v>45689</v>
      </c>
      <c r="C15" s="1" t="s">
        <v>15</v>
      </c>
      <c r="D15" s="1" t="s">
        <v>16</v>
      </c>
      <c r="E15" s="1">
        <v>55716.82</v>
      </c>
      <c r="F15" s="1">
        <v>10054</v>
      </c>
      <c r="G15" s="1">
        <v>0.14599999999999999</v>
      </c>
      <c r="H15" s="1">
        <v>24</v>
      </c>
      <c r="I15" s="1">
        <v>84.9</v>
      </c>
      <c r="J15" s="1">
        <v>1.06</v>
      </c>
      <c r="K15" s="1">
        <v>0</v>
      </c>
      <c r="L15" s="1">
        <v>4.3</v>
      </c>
      <c r="M15" s="1">
        <v>726606.28</v>
      </c>
      <c r="N15" s="1">
        <v>122729.29</v>
      </c>
    </row>
    <row r="16" spans="1:14">
      <c r="A16" s="1" t="s">
        <v>22</v>
      </c>
      <c r="B16" s="3">
        <v>45717</v>
      </c>
      <c r="C16" s="1" t="s">
        <v>15</v>
      </c>
      <c r="D16" s="1" t="s">
        <v>16</v>
      </c>
      <c r="E16" s="1">
        <v>59909.51</v>
      </c>
      <c r="F16" s="1">
        <v>8895</v>
      </c>
      <c r="G16" s="1">
        <v>0.22800000000000001</v>
      </c>
      <c r="H16" s="1">
        <v>23</v>
      </c>
      <c r="I16" s="1">
        <v>88.8</v>
      </c>
      <c r="J16" s="1">
        <v>0.27</v>
      </c>
      <c r="K16" s="1">
        <v>0</v>
      </c>
      <c r="L16" s="1">
        <v>4.3</v>
      </c>
      <c r="M16" s="1">
        <v>746501.09</v>
      </c>
      <c r="N16" s="1">
        <v>136816.72</v>
      </c>
    </row>
    <row r="17" spans="1:14">
      <c r="A17" s="1" t="s">
        <v>22</v>
      </c>
      <c r="B17" s="3">
        <v>45748</v>
      </c>
      <c r="C17" s="1" t="s">
        <v>15</v>
      </c>
      <c r="D17" s="1" t="s">
        <v>16</v>
      </c>
      <c r="E17" s="1">
        <v>75305.710000000006</v>
      </c>
      <c r="F17" s="1">
        <v>10940</v>
      </c>
      <c r="G17" s="1">
        <v>6.0000000000000001E-3</v>
      </c>
      <c r="H17" s="1">
        <v>26</v>
      </c>
      <c r="I17" s="1">
        <v>76.5</v>
      </c>
      <c r="J17" s="1">
        <v>1.32</v>
      </c>
      <c r="K17" s="1">
        <v>0</v>
      </c>
      <c r="L17" s="1">
        <v>4.5</v>
      </c>
      <c r="M17" s="1">
        <v>834017.02</v>
      </c>
      <c r="N17" s="1">
        <v>114745.03</v>
      </c>
    </row>
    <row r="18" spans="1:14">
      <c r="A18" s="1" t="s">
        <v>23</v>
      </c>
      <c r="B18" s="3">
        <v>45658</v>
      </c>
      <c r="C18" s="1" t="s">
        <v>24</v>
      </c>
      <c r="D18" s="1" t="s">
        <v>16</v>
      </c>
      <c r="E18" s="1">
        <v>48804.22</v>
      </c>
      <c r="F18" s="1">
        <v>7057</v>
      </c>
      <c r="G18" s="1">
        <v>5.0000000000000001E-3</v>
      </c>
      <c r="H18" s="1">
        <v>15</v>
      </c>
      <c r="I18" s="1">
        <v>87.7</v>
      </c>
      <c r="J18" s="1">
        <v>1.22</v>
      </c>
      <c r="K18" s="1">
        <v>0</v>
      </c>
      <c r="L18" s="1">
        <v>3.7</v>
      </c>
      <c r="M18" s="1">
        <v>666152.52</v>
      </c>
      <c r="N18" s="1">
        <v>107490.58</v>
      </c>
    </row>
    <row r="19" spans="1:14">
      <c r="A19" s="1" t="s">
        <v>23</v>
      </c>
      <c r="B19" s="3">
        <v>45689</v>
      </c>
      <c r="C19" s="1" t="s">
        <v>24</v>
      </c>
      <c r="D19" s="1" t="s">
        <v>16</v>
      </c>
      <c r="E19" s="1">
        <v>59117.9</v>
      </c>
      <c r="F19" s="1">
        <v>4263</v>
      </c>
      <c r="G19" s="1">
        <v>0.11899999999999999</v>
      </c>
      <c r="H19" s="1">
        <v>9</v>
      </c>
      <c r="I19" s="1">
        <v>87.6</v>
      </c>
      <c r="J19" s="1">
        <v>4.01</v>
      </c>
      <c r="K19" s="1">
        <v>0</v>
      </c>
      <c r="L19" s="1">
        <v>3.6</v>
      </c>
      <c r="M19" s="1">
        <v>573155.18999999994</v>
      </c>
      <c r="N19" s="1">
        <v>83680.75</v>
      </c>
    </row>
    <row r="20" spans="1:14">
      <c r="A20" s="1" t="s">
        <v>23</v>
      </c>
      <c r="B20" s="3">
        <v>45717</v>
      </c>
      <c r="C20" s="1" t="s">
        <v>24</v>
      </c>
      <c r="D20" s="1" t="s">
        <v>16</v>
      </c>
      <c r="E20" s="1">
        <v>78831.12</v>
      </c>
      <c r="F20" s="1">
        <v>5538</v>
      </c>
      <c r="G20" s="1">
        <v>0</v>
      </c>
      <c r="H20" s="1">
        <v>15</v>
      </c>
      <c r="I20" s="1">
        <v>94.1</v>
      </c>
      <c r="J20" s="1">
        <v>0.2</v>
      </c>
      <c r="K20" s="1">
        <v>0</v>
      </c>
      <c r="L20" s="1">
        <v>3.9</v>
      </c>
      <c r="M20" s="1">
        <v>666573.19999999995</v>
      </c>
      <c r="N20" s="1">
        <v>140641.01999999999</v>
      </c>
    </row>
    <row r="21" spans="1:14">
      <c r="A21" s="1" t="s">
        <v>23</v>
      </c>
      <c r="B21" s="3">
        <v>45748</v>
      </c>
      <c r="C21" s="1" t="s">
        <v>24</v>
      </c>
      <c r="D21" s="1" t="s">
        <v>16</v>
      </c>
      <c r="E21" s="1">
        <v>41441.93</v>
      </c>
      <c r="F21" s="1">
        <v>4865</v>
      </c>
      <c r="G21" s="1">
        <v>0.158</v>
      </c>
      <c r="H21" s="1">
        <v>16</v>
      </c>
      <c r="I21" s="1">
        <v>88.3</v>
      </c>
      <c r="J21" s="1">
        <v>0.5</v>
      </c>
      <c r="K21" s="1">
        <v>0</v>
      </c>
      <c r="L21" s="1">
        <v>4</v>
      </c>
      <c r="M21" s="1">
        <v>591619.94999999995</v>
      </c>
      <c r="N21" s="1">
        <v>99521.35</v>
      </c>
    </row>
    <row r="22" spans="1:14">
      <c r="A22" s="1" t="s">
        <v>25</v>
      </c>
      <c r="B22" s="3">
        <v>45658</v>
      </c>
      <c r="C22" s="1" t="s">
        <v>20</v>
      </c>
      <c r="D22" s="1" t="s">
        <v>16</v>
      </c>
      <c r="E22" s="1">
        <v>30356.28</v>
      </c>
      <c r="F22" s="1">
        <v>2822</v>
      </c>
      <c r="G22" s="1">
        <v>0.23100000000000001</v>
      </c>
      <c r="H22" s="1">
        <v>9</v>
      </c>
      <c r="I22" s="1">
        <v>84.8</v>
      </c>
      <c r="J22" s="1">
        <v>6.95</v>
      </c>
      <c r="K22" s="1">
        <v>0</v>
      </c>
      <c r="L22" s="1">
        <v>5</v>
      </c>
      <c r="M22" s="1">
        <v>415721.82</v>
      </c>
      <c r="N22" s="1">
        <v>61179.15</v>
      </c>
    </row>
    <row r="23" spans="1:14">
      <c r="A23" s="1" t="s">
        <v>25</v>
      </c>
      <c r="B23" s="3">
        <v>45689</v>
      </c>
      <c r="C23" s="1" t="s">
        <v>20</v>
      </c>
      <c r="D23" s="1" t="s">
        <v>16</v>
      </c>
      <c r="E23" s="1">
        <v>33518.879999999997</v>
      </c>
      <c r="F23" s="1">
        <v>2121</v>
      </c>
      <c r="G23" s="1">
        <v>0.17599999999999999</v>
      </c>
      <c r="H23" s="1">
        <v>8</v>
      </c>
      <c r="I23" s="1">
        <v>88.5</v>
      </c>
      <c r="J23" s="1">
        <v>0.2</v>
      </c>
      <c r="K23" s="1">
        <v>0</v>
      </c>
      <c r="L23" s="1">
        <v>5</v>
      </c>
      <c r="M23" s="1">
        <v>491905.13</v>
      </c>
      <c r="N23" s="1">
        <v>79212.259999999995</v>
      </c>
    </row>
    <row r="24" spans="1:14">
      <c r="A24" s="1" t="s">
        <v>25</v>
      </c>
      <c r="B24" s="3">
        <v>45717</v>
      </c>
      <c r="C24" s="1" t="s">
        <v>20</v>
      </c>
      <c r="D24" s="1" t="s">
        <v>16</v>
      </c>
      <c r="E24" s="1">
        <v>42267.37</v>
      </c>
      <c r="F24" s="1">
        <v>3364</v>
      </c>
      <c r="G24" s="1">
        <v>0.16</v>
      </c>
      <c r="H24" s="1">
        <v>13</v>
      </c>
      <c r="I24" s="1">
        <v>82</v>
      </c>
      <c r="J24" s="1">
        <v>1.61</v>
      </c>
      <c r="K24" s="1">
        <v>1</v>
      </c>
      <c r="L24" s="1">
        <v>4.5999999999999996</v>
      </c>
      <c r="M24" s="1">
        <v>555929.4</v>
      </c>
      <c r="N24" s="1">
        <v>115201.76</v>
      </c>
    </row>
    <row r="25" spans="1:14">
      <c r="A25" s="1" t="s">
        <v>25</v>
      </c>
      <c r="B25" s="3">
        <v>45748</v>
      </c>
      <c r="C25" s="1" t="s">
        <v>20</v>
      </c>
      <c r="D25" s="1" t="s">
        <v>16</v>
      </c>
      <c r="E25" s="1">
        <v>62060.43</v>
      </c>
      <c r="F25" s="1">
        <v>2613</v>
      </c>
      <c r="G25" s="1">
        <v>0.216</v>
      </c>
      <c r="H25" s="1">
        <v>12</v>
      </c>
      <c r="I25" s="1">
        <v>92.1</v>
      </c>
      <c r="J25" s="1">
        <v>1.55</v>
      </c>
      <c r="K25" s="1">
        <v>0</v>
      </c>
      <c r="L25" s="1">
        <v>4.7</v>
      </c>
      <c r="M25" s="1">
        <v>565810.99</v>
      </c>
      <c r="N25" s="1">
        <v>77825.460000000006</v>
      </c>
    </row>
    <row r="26" spans="1:14">
      <c r="A26" s="1" t="s">
        <v>26</v>
      </c>
      <c r="B26" s="3">
        <v>45658</v>
      </c>
      <c r="C26" s="1" t="s">
        <v>27</v>
      </c>
      <c r="D26" s="1" t="s">
        <v>28</v>
      </c>
      <c r="E26" s="1">
        <v>57696.69</v>
      </c>
      <c r="F26" s="1">
        <v>10218</v>
      </c>
      <c r="G26" s="1">
        <v>0.121</v>
      </c>
      <c r="H26" s="1">
        <v>25</v>
      </c>
      <c r="I26" s="1">
        <v>94.8</v>
      </c>
      <c r="J26" s="1">
        <v>2.99</v>
      </c>
      <c r="K26" s="1">
        <v>0</v>
      </c>
      <c r="L26" s="1">
        <v>3.5</v>
      </c>
      <c r="M26" s="1">
        <v>811771.14</v>
      </c>
      <c r="N26" s="1">
        <v>148756.24</v>
      </c>
    </row>
    <row r="27" spans="1:14">
      <c r="A27" s="1" t="s">
        <v>26</v>
      </c>
      <c r="B27" s="3">
        <v>45689</v>
      </c>
      <c r="C27" s="1" t="s">
        <v>27</v>
      </c>
      <c r="D27" s="1" t="s">
        <v>28</v>
      </c>
      <c r="E27" s="1">
        <v>172415.52</v>
      </c>
      <c r="F27" s="1">
        <v>8927</v>
      </c>
      <c r="G27" s="1">
        <v>0.14000000000000001</v>
      </c>
      <c r="H27" s="1">
        <v>22</v>
      </c>
      <c r="I27" s="1">
        <v>86.2</v>
      </c>
      <c r="J27" s="1">
        <v>7.04</v>
      </c>
      <c r="K27" s="1">
        <v>0</v>
      </c>
      <c r="L27" s="1">
        <v>3.9</v>
      </c>
      <c r="M27" s="1">
        <v>800451.94</v>
      </c>
      <c r="N27" s="1">
        <v>111572.29</v>
      </c>
    </row>
    <row r="28" spans="1:14">
      <c r="A28" s="1" t="s">
        <v>26</v>
      </c>
      <c r="B28" s="3">
        <v>45717</v>
      </c>
      <c r="C28" s="1" t="s">
        <v>27</v>
      </c>
      <c r="D28" s="1" t="s">
        <v>28</v>
      </c>
      <c r="E28" s="1">
        <v>55270.52</v>
      </c>
      <c r="F28" s="1">
        <v>9315</v>
      </c>
      <c r="G28" s="1">
        <v>0.16900000000000001</v>
      </c>
      <c r="H28" s="1">
        <v>23</v>
      </c>
      <c r="I28" s="1">
        <v>91.9</v>
      </c>
      <c r="J28" s="1">
        <v>4.9400000000000004</v>
      </c>
      <c r="K28" s="1">
        <v>0</v>
      </c>
      <c r="L28" s="1">
        <v>4</v>
      </c>
      <c r="M28" s="1">
        <v>783672.82</v>
      </c>
      <c r="N28" s="1">
        <v>112577.14</v>
      </c>
    </row>
    <row r="29" spans="1:14">
      <c r="A29" s="1" t="s">
        <v>26</v>
      </c>
      <c r="B29" s="3">
        <v>45748</v>
      </c>
      <c r="C29" s="1" t="s">
        <v>27</v>
      </c>
      <c r="D29" s="1" t="s">
        <v>28</v>
      </c>
      <c r="E29" s="1">
        <v>52715.1</v>
      </c>
      <c r="F29" s="1">
        <v>7223</v>
      </c>
      <c r="G29" s="1">
        <v>0.122</v>
      </c>
      <c r="H29" s="1">
        <v>16</v>
      </c>
      <c r="I29" s="1">
        <v>84.2</v>
      </c>
      <c r="J29" s="1">
        <v>16.149999999999999</v>
      </c>
      <c r="K29" s="1">
        <v>0</v>
      </c>
      <c r="L29" s="1">
        <v>3.7</v>
      </c>
      <c r="M29" s="1">
        <v>701641.97</v>
      </c>
      <c r="N29" s="1">
        <v>106111.86</v>
      </c>
    </row>
    <row r="30" spans="1:14">
      <c r="A30" s="1" t="s">
        <v>29</v>
      </c>
      <c r="B30" s="3">
        <v>45658</v>
      </c>
      <c r="C30" s="1" t="s">
        <v>15</v>
      </c>
      <c r="D30" s="1" t="s">
        <v>16</v>
      </c>
      <c r="E30" s="1">
        <v>68600.62</v>
      </c>
      <c r="F30" s="1">
        <v>3988</v>
      </c>
      <c r="G30" s="1">
        <v>0.124</v>
      </c>
      <c r="H30" s="1">
        <v>11</v>
      </c>
      <c r="I30" s="1">
        <v>85</v>
      </c>
      <c r="J30" s="1">
        <v>0.48</v>
      </c>
      <c r="K30" s="1">
        <v>0</v>
      </c>
      <c r="L30" s="1">
        <v>3.6</v>
      </c>
      <c r="M30" s="1">
        <v>511844.41</v>
      </c>
      <c r="N30" s="1">
        <v>72774.44</v>
      </c>
    </row>
    <row r="31" spans="1:14">
      <c r="A31" s="1" t="s">
        <v>29</v>
      </c>
      <c r="B31" s="3">
        <v>45689</v>
      </c>
      <c r="C31" s="1" t="s">
        <v>15</v>
      </c>
      <c r="D31" s="1" t="s">
        <v>16</v>
      </c>
      <c r="E31" s="1">
        <v>63176.73</v>
      </c>
      <c r="F31" s="1">
        <v>2390</v>
      </c>
      <c r="G31" s="1">
        <v>0.216</v>
      </c>
      <c r="H31" s="1">
        <v>9</v>
      </c>
      <c r="I31" s="1">
        <v>87.5</v>
      </c>
      <c r="J31" s="1">
        <v>0.31</v>
      </c>
      <c r="K31" s="1">
        <v>0</v>
      </c>
      <c r="L31" s="1">
        <v>3.1</v>
      </c>
      <c r="M31" s="1">
        <v>537383.79</v>
      </c>
      <c r="N31" s="1">
        <v>63773.27</v>
      </c>
    </row>
    <row r="32" spans="1:14">
      <c r="A32" s="1" t="s">
        <v>29</v>
      </c>
      <c r="B32" s="3">
        <v>45717</v>
      </c>
      <c r="C32" s="1" t="s">
        <v>15</v>
      </c>
      <c r="D32" s="1" t="s">
        <v>16</v>
      </c>
      <c r="E32" s="1">
        <v>44970.080000000002</v>
      </c>
      <c r="F32" s="1">
        <v>2471</v>
      </c>
      <c r="G32" s="1">
        <v>0.13600000000000001</v>
      </c>
      <c r="H32" s="1">
        <v>11</v>
      </c>
      <c r="I32" s="1">
        <v>87.6</v>
      </c>
      <c r="J32" s="1">
        <v>3.01</v>
      </c>
      <c r="K32" s="1">
        <v>1</v>
      </c>
      <c r="L32" s="1">
        <v>3.7</v>
      </c>
      <c r="M32" s="1">
        <v>500173.02</v>
      </c>
      <c r="N32" s="1">
        <v>70982.05</v>
      </c>
    </row>
    <row r="33" spans="1:14">
      <c r="A33" s="1" t="s">
        <v>29</v>
      </c>
      <c r="B33" s="3">
        <v>45748</v>
      </c>
      <c r="C33" s="1" t="s">
        <v>15</v>
      </c>
      <c r="D33" s="1" t="s">
        <v>16</v>
      </c>
      <c r="E33" s="1">
        <v>69816.350000000006</v>
      </c>
      <c r="F33" s="1">
        <v>971</v>
      </c>
      <c r="G33" s="1">
        <v>0.16800000000000001</v>
      </c>
      <c r="H33" s="1">
        <v>5</v>
      </c>
      <c r="I33" s="1">
        <v>89.9</v>
      </c>
      <c r="J33" s="1">
        <v>12.15</v>
      </c>
      <c r="K33" s="1">
        <v>0</v>
      </c>
      <c r="L33" s="1">
        <v>3.6</v>
      </c>
      <c r="M33" s="1">
        <v>427917.38</v>
      </c>
      <c r="N33" s="1">
        <v>81824.31</v>
      </c>
    </row>
    <row r="34" spans="1:14">
      <c r="A34" s="1" t="s">
        <v>30</v>
      </c>
      <c r="B34" s="3">
        <v>45658</v>
      </c>
      <c r="C34" s="1" t="s">
        <v>20</v>
      </c>
      <c r="D34" s="1" t="s">
        <v>16</v>
      </c>
      <c r="E34" s="1">
        <v>54597.83</v>
      </c>
      <c r="F34" s="1">
        <v>9429</v>
      </c>
      <c r="G34" s="1">
        <v>0.188</v>
      </c>
      <c r="H34" s="1">
        <v>21</v>
      </c>
      <c r="I34" s="1">
        <v>83.3</v>
      </c>
      <c r="J34" s="1">
        <v>11.71</v>
      </c>
      <c r="K34" s="1">
        <v>0</v>
      </c>
      <c r="L34" s="1">
        <v>4.2</v>
      </c>
      <c r="M34" s="1">
        <v>641865.03</v>
      </c>
      <c r="N34" s="1">
        <v>81342.58</v>
      </c>
    </row>
    <row r="35" spans="1:14">
      <c r="A35" s="1" t="s">
        <v>30</v>
      </c>
      <c r="B35" s="3">
        <v>45689</v>
      </c>
      <c r="C35" s="1" t="s">
        <v>20</v>
      </c>
      <c r="D35" s="1" t="s">
        <v>16</v>
      </c>
      <c r="E35" s="1">
        <v>73771.91</v>
      </c>
      <c r="F35" s="1">
        <v>11695</v>
      </c>
      <c r="G35" s="1">
        <v>7.0000000000000007E-2</v>
      </c>
      <c r="H35" s="1">
        <v>25</v>
      </c>
      <c r="I35" s="1">
        <v>84.7</v>
      </c>
      <c r="J35" s="1">
        <v>0.62</v>
      </c>
      <c r="K35" s="1">
        <v>0</v>
      </c>
      <c r="L35" s="1">
        <f>AVERAGE(J:J)</f>
        <v>4.5590445859872624</v>
      </c>
      <c r="M35" s="1">
        <v>799477.76000000001</v>
      </c>
      <c r="N35" s="1">
        <v>164974.41</v>
      </c>
    </row>
    <row r="36" spans="1:14">
      <c r="A36" s="1" t="s">
        <v>30</v>
      </c>
      <c r="B36" s="3">
        <v>45717</v>
      </c>
      <c r="C36" s="1" t="s">
        <v>20</v>
      </c>
      <c r="D36" s="1" t="s">
        <v>16</v>
      </c>
      <c r="E36" s="1">
        <v>74413.88</v>
      </c>
      <c r="F36" s="1">
        <v>9449</v>
      </c>
      <c r="G36" s="1">
        <v>3.9E-2</v>
      </c>
      <c r="H36" s="1">
        <v>23</v>
      </c>
      <c r="I36" s="1">
        <v>92.1</v>
      </c>
      <c r="J36" s="1">
        <v>2.12</v>
      </c>
      <c r="K36" s="1">
        <v>0</v>
      </c>
      <c r="L36" s="1">
        <v>3.5</v>
      </c>
      <c r="M36" s="1">
        <v>798952.17</v>
      </c>
      <c r="N36" s="1">
        <v>161499.04</v>
      </c>
    </row>
    <row r="37" spans="1:14">
      <c r="A37" s="1" t="s">
        <v>30</v>
      </c>
      <c r="B37" s="3">
        <v>45748</v>
      </c>
      <c r="C37" s="1" t="s">
        <v>20</v>
      </c>
      <c r="D37" s="1" t="s">
        <v>16</v>
      </c>
      <c r="E37" s="1">
        <v>52483.77</v>
      </c>
      <c r="F37" s="1">
        <v>10453</v>
      </c>
      <c r="G37" s="1">
        <v>0.247</v>
      </c>
      <c r="H37" s="1">
        <v>25</v>
      </c>
      <c r="I37" s="1">
        <v>99</v>
      </c>
      <c r="J37" s="1">
        <v>6.31</v>
      </c>
      <c r="K37" s="1">
        <v>0</v>
      </c>
      <c r="L37" s="1">
        <v>3.6</v>
      </c>
      <c r="M37" s="1">
        <v>800979.78</v>
      </c>
      <c r="N37" s="1">
        <v>149242.26999999999</v>
      </c>
    </row>
    <row r="38" spans="1:14">
      <c r="A38" s="1" t="s">
        <v>31</v>
      </c>
      <c r="B38" s="3">
        <v>45658</v>
      </c>
      <c r="C38" s="1" t="s">
        <v>20</v>
      </c>
      <c r="D38" s="1" t="s">
        <v>28</v>
      </c>
      <c r="E38" s="1">
        <v>75269.87</v>
      </c>
      <c r="F38" s="1">
        <v>8838</v>
      </c>
      <c r="G38" s="1">
        <v>9.1999999999999998E-2</v>
      </c>
      <c r="H38" s="1">
        <v>21</v>
      </c>
      <c r="I38" s="1">
        <v>83.1</v>
      </c>
      <c r="J38" s="1">
        <v>9.56</v>
      </c>
      <c r="K38" s="1">
        <v>1</v>
      </c>
      <c r="L38" s="1">
        <v>4.2</v>
      </c>
      <c r="M38" s="1">
        <v>820593.93</v>
      </c>
      <c r="N38" s="1">
        <v>115860.06</v>
      </c>
    </row>
    <row r="39" spans="1:14">
      <c r="A39" s="1" t="s">
        <v>31</v>
      </c>
      <c r="B39" s="3">
        <v>45689</v>
      </c>
      <c r="C39" s="1" t="s">
        <v>20</v>
      </c>
      <c r="D39" s="1" t="s">
        <v>28</v>
      </c>
      <c r="E39" s="1">
        <v>61245.41</v>
      </c>
      <c r="F39" s="1">
        <v>8156</v>
      </c>
      <c r="G39" s="1">
        <v>0.156</v>
      </c>
      <c r="H39" s="1">
        <v>19</v>
      </c>
      <c r="I39" s="1">
        <v>92.9</v>
      </c>
      <c r="J39" s="1">
        <v>9.0500000000000007</v>
      </c>
      <c r="K39" s="1">
        <v>0</v>
      </c>
      <c r="L39" s="1">
        <v>3.8</v>
      </c>
      <c r="M39" s="1">
        <v>718330.53</v>
      </c>
      <c r="N39" s="1">
        <v>93247.9</v>
      </c>
    </row>
    <row r="40" spans="1:14">
      <c r="A40" s="1" t="s">
        <v>31</v>
      </c>
      <c r="B40" s="3">
        <v>45717</v>
      </c>
      <c r="C40" s="1" t="s">
        <v>20</v>
      </c>
      <c r="D40" s="1" t="s">
        <v>28</v>
      </c>
      <c r="E40" s="1">
        <v>93381.26</v>
      </c>
      <c r="F40" s="1">
        <v>7562</v>
      </c>
      <c r="G40" s="1">
        <v>0.19800000000000001</v>
      </c>
      <c r="H40" s="1">
        <v>19</v>
      </c>
      <c r="I40" s="1">
        <v>82.9</v>
      </c>
      <c r="J40" s="1">
        <v>5.05</v>
      </c>
      <c r="K40" s="1">
        <v>0</v>
      </c>
      <c r="L40" s="1">
        <v>4</v>
      </c>
      <c r="M40" s="1">
        <v>736633.4</v>
      </c>
      <c r="N40" s="1">
        <v>115654.66</v>
      </c>
    </row>
    <row r="41" spans="1:14">
      <c r="A41" s="1" t="s">
        <v>31</v>
      </c>
      <c r="B41" s="3">
        <v>45748</v>
      </c>
      <c r="C41" s="1" t="s">
        <v>20</v>
      </c>
      <c r="D41" s="1" t="s">
        <v>28</v>
      </c>
      <c r="E41" s="1">
        <v>65012.19</v>
      </c>
      <c r="F41" s="1">
        <v>9598</v>
      </c>
      <c r="G41" s="1">
        <v>8.5000000000000006E-2</v>
      </c>
      <c r="H41" s="1">
        <v>24</v>
      </c>
      <c r="I41" s="1">
        <v>98.3</v>
      </c>
      <c r="J41" s="1">
        <v>0.89</v>
      </c>
      <c r="K41" s="1">
        <v>0</v>
      </c>
      <c r="L41" s="1">
        <v>3.8</v>
      </c>
      <c r="M41" s="1">
        <v>828623.85</v>
      </c>
      <c r="N41" s="1">
        <v>167320.51999999999</v>
      </c>
    </row>
    <row r="42" spans="1:14">
      <c r="A42" s="1" t="s">
        <v>32</v>
      </c>
      <c r="B42" s="3">
        <v>45658</v>
      </c>
      <c r="C42" s="1" t="s">
        <v>15</v>
      </c>
      <c r="D42" s="1" t="s">
        <v>28</v>
      </c>
      <c r="E42" s="1">
        <v>40462.94</v>
      </c>
      <c r="F42" s="1">
        <v>3660</v>
      </c>
      <c r="G42" s="1">
        <v>0.218</v>
      </c>
      <c r="H42" s="1">
        <v>11</v>
      </c>
      <c r="I42" s="1">
        <v>95.2</v>
      </c>
      <c r="J42" s="1">
        <v>5.57</v>
      </c>
      <c r="K42" s="1">
        <v>0</v>
      </c>
      <c r="L42" s="1">
        <v>4.4000000000000004</v>
      </c>
      <c r="M42" s="1">
        <v>592195.85</v>
      </c>
      <c r="N42" s="1">
        <v>92291.56</v>
      </c>
    </row>
    <row r="43" spans="1:14">
      <c r="A43" s="1" t="s">
        <v>32</v>
      </c>
      <c r="B43" s="3">
        <v>45689</v>
      </c>
      <c r="C43" s="1" t="s">
        <v>15</v>
      </c>
      <c r="D43" s="1" t="s">
        <v>28</v>
      </c>
      <c r="E43" s="1">
        <v>46123.88</v>
      </c>
      <c r="F43" s="1">
        <v>3227</v>
      </c>
      <c r="G43" s="1">
        <v>0.14299999999999999</v>
      </c>
      <c r="H43" s="1">
        <v>10</v>
      </c>
      <c r="I43" s="1">
        <v>75.400000000000006</v>
      </c>
      <c r="J43" s="1">
        <v>1.06</v>
      </c>
      <c r="K43" s="1">
        <v>0</v>
      </c>
      <c r="L43" s="1">
        <v>4.4000000000000004</v>
      </c>
      <c r="M43" s="1">
        <v>532644.46</v>
      </c>
      <c r="N43" s="1">
        <v>60681.32</v>
      </c>
    </row>
    <row r="44" spans="1:14">
      <c r="A44" s="1" t="s">
        <v>32</v>
      </c>
      <c r="B44" s="3">
        <v>45717</v>
      </c>
      <c r="C44" s="1" t="s">
        <v>15</v>
      </c>
      <c r="D44" s="1" t="s">
        <v>28</v>
      </c>
      <c r="E44" s="1">
        <v>68077.539999999994</v>
      </c>
      <c r="F44" s="1">
        <v>3360</v>
      </c>
      <c r="G44" s="1">
        <v>0.128</v>
      </c>
      <c r="H44" s="1">
        <v>14</v>
      </c>
      <c r="I44" s="1">
        <v>88.2</v>
      </c>
      <c r="J44" s="1">
        <v>1.24</v>
      </c>
      <c r="K44" s="1">
        <v>1</v>
      </c>
      <c r="L44" s="1">
        <v>4</v>
      </c>
      <c r="M44" s="1">
        <v>657429.18000000005</v>
      </c>
      <c r="N44" s="1">
        <v>88919.74</v>
      </c>
    </row>
    <row r="45" spans="1:14">
      <c r="A45" s="1" t="s">
        <v>32</v>
      </c>
      <c r="B45" s="3">
        <v>45748</v>
      </c>
      <c r="C45" s="1" t="s">
        <v>15</v>
      </c>
      <c r="D45" s="1" t="s">
        <v>28</v>
      </c>
      <c r="E45" s="1">
        <v>64882.14</v>
      </c>
      <c r="F45" s="1">
        <v>3642</v>
      </c>
      <c r="G45" s="1">
        <v>1.9E-2</v>
      </c>
      <c r="H45" s="1">
        <v>13</v>
      </c>
      <c r="I45" s="1">
        <v>87.8</v>
      </c>
      <c r="J45" s="1">
        <v>4.5199999999999996</v>
      </c>
      <c r="K45" s="1">
        <v>0</v>
      </c>
      <c r="L45" s="1">
        <v>4.2</v>
      </c>
      <c r="M45" s="1">
        <v>605178</v>
      </c>
      <c r="N45" s="1">
        <v>106958.74</v>
      </c>
    </row>
    <row r="46" spans="1:14">
      <c r="A46" s="1" t="s">
        <v>33</v>
      </c>
      <c r="B46" s="3">
        <v>45658</v>
      </c>
      <c r="C46" s="1" t="s">
        <v>27</v>
      </c>
      <c r="D46" s="1" t="s">
        <v>16</v>
      </c>
      <c r="E46" s="1">
        <v>138855.51</v>
      </c>
      <c r="F46" s="1">
        <v>5145</v>
      </c>
      <c r="G46" s="1">
        <v>0.06</v>
      </c>
      <c r="H46" s="1">
        <v>17</v>
      </c>
      <c r="I46" s="1">
        <v>88.2</v>
      </c>
      <c r="J46" s="1">
        <v>9.58</v>
      </c>
      <c r="K46" s="1">
        <v>0</v>
      </c>
      <c r="L46" s="1">
        <v>3.2</v>
      </c>
      <c r="M46" s="1">
        <v>595467.6</v>
      </c>
      <c r="N46" s="1">
        <v>104276.46</v>
      </c>
    </row>
    <row r="47" spans="1:14">
      <c r="A47" s="1" t="s">
        <v>33</v>
      </c>
      <c r="B47" s="3">
        <v>45689</v>
      </c>
      <c r="C47" s="1" t="s">
        <v>27</v>
      </c>
      <c r="D47" s="1" t="s">
        <v>16</v>
      </c>
      <c r="E47" s="1">
        <v>63630.21</v>
      </c>
      <c r="F47" s="1">
        <v>4460</v>
      </c>
      <c r="G47" s="1">
        <v>0.23499999999999999</v>
      </c>
      <c r="H47" s="1">
        <v>14</v>
      </c>
      <c r="I47" s="1">
        <v>98.6</v>
      </c>
      <c r="J47" s="1">
        <v>5.52</v>
      </c>
      <c r="K47" s="1">
        <v>0</v>
      </c>
      <c r="L47" s="1">
        <v>3.5</v>
      </c>
      <c r="M47" s="1">
        <v>599603.4</v>
      </c>
      <c r="N47" s="1">
        <v>112685.12</v>
      </c>
    </row>
    <row r="48" spans="1:14">
      <c r="A48" s="1" t="s">
        <v>33</v>
      </c>
      <c r="B48" s="3">
        <v>45717</v>
      </c>
      <c r="C48" s="1" t="s">
        <v>27</v>
      </c>
      <c r="D48" s="1" t="s">
        <v>16</v>
      </c>
      <c r="E48" s="1">
        <v>50043.65</v>
      </c>
      <c r="F48" s="1">
        <v>3804</v>
      </c>
      <c r="G48" s="1">
        <v>0.113</v>
      </c>
      <c r="H48" s="1">
        <v>11</v>
      </c>
      <c r="I48" s="1">
        <v>90.9</v>
      </c>
      <c r="J48" s="1">
        <v>2.7</v>
      </c>
      <c r="K48" s="1">
        <v>1</v>
      </c>
      <c r="L48" s="1">
        <v>3.2</v>
      </c>
      <c r="M48" s="1">
        <v>614800.09</v>
      </c>
      <c r="N48" s="1">
        <v>100044.2</v>
      </c>
    </row>
    <row r="49" spans="1:14">
      <c r="A49" s="1" t="s">
        <v>33</v>
      </c>
      <c r="B49" s="3">
        <v>45748</v>
      </c>
      <c r="C49" s="1" t="s">
        <v>27</v>
      </c>
      <c r="D49" s="1" t="s">
        <v>16</v>
      </c>
      <c r="E49" s="1">
        <v>42093.84</v>
      </c>
      <c r="F49" s="1">
        <v>4074</v>
      </c>
      <c r="G49" s="1">
        <v>0.155</v>
      </c>
      <c r="H49" s="1">
        <v>15</v>
      </c>
      <c r="I49" s="1">
        <v>88</v>
      </c>
      <c r="J49" s="1">
        <v>9.64</v>
      </c>
      <c r="K49" s="1">
        <v>0</v>
      </c>
      <c r="L49" s="1">
        <v>3.3</v>
      </c>
      <c r="M49" s="1">
        <v>585365.73</v>
      </c>
      <c r="N49" s="1">
        <v>81011.520000000004</v>
      </c>
    </row>
    <row r="50" spans="1:14">
      <c r="A50" s="1" t="s">
        <v>34</v>
      </c>
      <c r="B50" s="3">
        <v>45658</v>
      </c>
      <c r="C50" s="1" t="s">
        <v>20</v>
      </c>
      <c r="D50" s="1" t="s">
        <v>28</v>
      </c>
      <c r="E50" s="1">
        <v>46624.05</v>
      </c>
      <c r="F50" s="1">
        <v>5104</v>
      </c>
      <c r="G50" s="1">
        <v>0.109</v>
      </c>
      <c r="H50" s="1">
        <v>11</v>
      </c>
      <c r="I50" s="1">
        <v>97.3</v>
      </c>
      <c r="J50" s="1">
        <v>3.49</v>
      </c>
      <c r="K50" s="1">
        <v>1</v>
      </c>
      <c r="L50" s="1">
        <v>4.7</v>
      </c>
      <c r="M50" s="1">
        <v>622811.74</v>
      </c>
      <c r="N50" s="1">
        <v>109978.35</v>
      </c>
    </row>
    <row r="51" spans="1:14">
      <c r="A51" s="1" t="s">
        <v>34</v>
      </c>
      <c r="B51" s="3">
        <v>45689</v>
      </c>
      <c r="C51" s="1" t="s">
        <v>20</v>
      </c>
      <c r="D51" s="1" t="s">
        <v>28</v>
      </c>
      <c r="E51" s="1">
        <v>49710.29</v>
      </c>
      <c r="F51" s="1">
        <v>5559</v>
      </c>
      <c r="G51" s="1">
        <v>0.218</v>
      </c>
      <c r="H51" s="1">
        <v>14</v>
      </c>
      <c r="I51" s="1">
        <v>71</v>
      </c>
      <c r="J51" s="1">
        <v>9.11</v>
      </c>
      <c r="K51" s="1">
        <v>0</v>
      </c>
      <c r="L51" s="1">
        <v>4.5999999999999996</v>
      </c>
      <c r="M51" s="1">
        <v>603297.56999999995</v>
      </c>
      <c r="N51" s="1">
        <v>60592.26</v>
      </c>
    </row>
    <row r="52" spans="1:14">
      <c r="A52" s="1" t="s">
        <v>34</v>
      </c>
      <c r="B52" s="3">
        <v>45717</v>
      </c>
      <c r="C52" s="1" t="s">
        <v>20</v>
      </c>
      <c r="D52" s="1" t="s">
        <v>28</v>
      </c>
      <c r="E52" s="1">
        <v>48287.85</v>
      </c>
      <c r="F52" s="1">
        <v>5150</v>
      </c>
      <c r="G52" s="1">
        <v>8.0000000000000002E-3</v>
      </c>
      <c r="H52" s="1">
        <v>12</v>
      </c>
      <c r="I52" s="1">
        <v>80.400000000000006</v>
      </c>
      <c r="J52" s="1">
        <v>7.4</v>
      </c>
      <c r="K52" s="1">
        <v>0</v>
      </c>
      <c r="L52" s="1">
        <v>4.5</v>
      </c>
      <c r="M52" s="1">
        <v>625672.86</v>
      </c>
      <c r="N52" s="1">
        <v>118020.12</v>
      </c>
    </row>
    <row r="53" spans="1:14">
      <c r="A53" s="1" t="s">
        <v>34</v>
      </c>
      <c r="B53" s="3">
        <v>45748</v>
      </c>
      <c r="C53" s="1" t="s">
        <v>20</v>
      </c>
      <c r="D53" s="1" t="s">
        <v>28</v>
      </c>
      <c r="E53" s="1">
        <v>65312.49</v>
      </c>
      <c r="F53" s="1">
        <v>7189</v>
      </c>
      <c r="G53" s="1">
        <v>0.05</v>
      </c>
      <c r="H53" s="1">
        <v>19</v>
      </c>
      <c r="I53" s="1">
        <v>93.7</v>
      </c>
      <c r="J53" s="1">
        <v>7.16</v>
      </c>
      <c r="K53" s="1">
        <v>0</v>
      </c>
      <c r="L53" s="1">
        <v>4.5999999999999996</v>
      </c>
      <c r="M53" s="1">
        <v>773815.14</v>
      </c>
      <c r="N53" s="1">
        <v>133948.39000000001</v>
      </c>
    </row>
    <row r="54" spans="1:14">
      <c r="A54" s="1" t="s">
        <v>35</v>
      </c>
      <c r="B54" s="3">
        <v>45658</v>
      </c>
      <c r="C54" s="1" t="s">
        <v>27</v>
      </c>
      <c r="D54" s="1" t="s">
        <v>18</v>
      </c>
      <c r="E54" s="1">
        <v>53015.46</v>
      </c>
      <c r="F54" s="1">
        <v>3279</v>
      </c>
      <c r="G54" s="1">
        <v>8.6999999999999994E-2</v>
      </c>
      <c r="H54" s="1">
        <v>9</v>
      </c>
      <c r="I54" s="1">
        <v>84.3</v>
      </c>
      <c r="J54" s="1">
        <v>22.02</v>
      </c>
      <c r="K54" s="1">
        <v>0</v>
      </c>
      <c r="L54" s="1">
        <v>3.9</v>
      </c>
      <c r="M54" s="1">
        <v>463534.25</v>
      </c>
      <c r="N54" s="1">
        <v>81834.539999999994</v>
      </c>
    </row>
    <row r="55" spans="1:14">
      <c r="A55" s="1" t="s">
        <v>35</v>
      </c>
      <c r="B55" s="3">
        <v>45689</v>
      </c>
      <c r="C55" s="1" t="s">
        <v>27</v>
      </c>
      <c r="D55" s="1" t="s">
        <v>18</v>
      </c>
      <c r="E55" s="1">
        <v>99874.01</v>
      </c>
      <c r="F55" s="1">
        <v>5887</v>
      </c>
      <c r="G55" s="1">
        <v>0.26200000000000001</v>
      </c>
      <c r="H55" s="1">
        <v>14</v>
      </c>
      <c r="I55" s="1">
        <v>88.7</v>
      </c>
      <c r="J55" s="1">
        <v>6.18</v>
      </c>
      <c r="K55" s="1">
        <v>0</v>
      </c>
      <c r="L55" s="1">
        <v>4.7</v>
      </c>
      <c r="M55" s="1">
        <v>746677.75</v>
      </c>
      <c r="N55" s="1">
        <v>122437.84</v>
      </c>
    </row>
    <row r="56" spans="1:14">
      <c r="A56" s="1" t="s">
        <v>35</v>
      </c>
      <c r="B56" s="3">
        <v>45717</v>
      </c>
      <c r="C56" s="1" t="s">
        <v>27</v>
      </c>
      <c r="D56" s="1" t="s">
        <v>18</v>
      </c>
      <c r="E56" s="1">
        <v>81195.5</v>
      </c>
      <c r="F56" s="1">
        <v>5516</v>
      </c>
      <c r="G56" s="1">
        <v>0.106</v>
      </c>
      <c r="H56" s="1">
        <v>14</v>
      </c>
      <c r="I56" s="1">
        <v>88</v>
      </c>
      <c r="J56" s="1">
        <v>1.76</v>
      </c>
      <c r="K56" s="1">
        <v>0</v>
      </c>
      <c r="L56" s="1">
        <v>4.3</v>
      </c>
      <c r="M56" s="1">
        <v>720852.5</v>
      </c>
      <c r="N56" s="1">
        <v>98565.62</v>
      </c>
    </row>
    <row r="57" spans="1:14">
      <c r="A57" s="1" t="s">
        <v>35</v>
      </c>
      <c r="B57" s="3">
        <v>45748</v>
      </c>
      <c r="C57" s="1" t="s">
        <v>27</v>
      </c>
      <c r="D57" s="1" t="s">
        <v>18</v>
      </c>
      <c r="E57" s="1">
        <v>27808.6</v>
      </c>
      <c r="F57" s="1">
        <v>2863</v>
      </c>
      <c r="G57" s="1">
        <v>0.08</v>
      </c>
      <c r="H57" s="1">
        <v>13</v>
      </c>
      <c r="I57" s="1">
        <v>89.3</v>
      </c>
      <c r="J57" s="1">
        <v>0.47</v>
      </c>
      <c r="K57" s="1">
        <v>0</v>
      </c>
      <c r="L57" s="1">
        <v>4.0999999999999996</v>
      </c>
      <c r="M57" s="1">
        <v>487464.91</v>
      </c>
      <c r="N57" s="1">
        <v>64562.26</v>
      </c>
    </row>
    <row r="58" spans="1:14">
      <c r="A58" s="1" t="s">
        <v>36</v>
      </c>
      <c r="B58" s="3">
        <v>45658</v>
      </c>
      <c r="C58" s="1" t="s">
        <v>15</v>
      </c>
      <c r="D58" s="1" t="s">
        <v>21</v>
      </c>
      <c r="E58" s="1">
        <v>19365.060000000001</v>
      </c>
      <c r="F58" s="1">
        <v>2378</v>
      </c>
      <c r="G58" s="1">
        <v>0</v>
      </c>
      <c r="H58" s="1">
        <v>12</v>
      </c>
      <c r="I58" s="1">
        <v>94.8</v>
      </c>
      <c r="J58" s="1">
        <v>0.2</v>
      </c>
      <c r="K58" s="1">
        <v>0</v>
      </c>
      <c r="L58" s="1">
        <v>3.5</v>
      </c>
      <c r="M58" s="1">
        <v>518049.26</v>
      </c>
      <c r="N58" s="1">
        <v>108592.49</v>
      </c>
    </row>
    <row r="59" spans="1:14">
      <c r="A59" s="1" t="s">
        <v>36</v>
      </c>
      <c r="B59" s="3">
        <v>45689</v>
      </c>
      <c r="C59" s="1" t="s">
        <v>15</v>
      </c>
      <c r="D59" s="1" t="s">
        <v>21</v>
      </c>
      <c r="E59" s="1">
        <v>59405.68</v>
      </c>
      <c r="F59" s="1">
        <v>2515</v>
      </c>
      <c r="G59" s="1">
        <v>3.9E-2</v>
      </c>
      <c r="H59" s="1">
        <v>12</v>
      </c>
      <c r="I59" s="1">
        <v>76</v>
      </c>
      <c r="J59" s="1">
        <v>5.1100000000000003</v>
      </c>
      <c r="K59" s="1">
        <v>0</v>
      </c>
      <c r="L59" s="1">
        <v>3.7</v>
      </c>
      <c r="M59" s="1">
        <v>500298.48</v>
      </c>
      <c r="N59" s="1">
        <v>73461.320000000007</v>
      </c>
    </row>
    <row r="60" spans="1:14">
      <c r="A60" s="1" t="s">
        <v>36</v>
      </c>
      <c r="B60" s="3">
        <v>45717</v>
      </c>
      <c r="C60" s="1" t="s">
        <v>15</v>
      </c>
      <c r="D60" s="1" t="s">
        <v>21</v>
      </c>
      <c r="E60" s="1">
        <v>118910.48</v>
      </c>
      <c r="F60" s="1">
        <v>4022</v>
      </c>
      <c r="G60" s="1">
        <v>0.13700000000000001</v>
      </c>
      <c r="H60" s="1">
        <v>11</v>
      </c>
      <c r="I60" s="1">
        <v>87.1</v>
      </c>
      <c r="J60" s="1">
        <v>0.2</v>
      </c>
      <c r="K60" s="1">
        <v>0</v>
      </c>
      <c r="L60" s="1">
        <v>3.1</v>
      </c>
      <c r="M60" s="1">
        <v>617291.15</v>
      </c>
      <c r="N60" s="1">
        <v>117782</v>
      </c>
    </row>
    <row r="61" spans="1:14">
      <c r="A61" s="1" t="s">
        <v>36</v>
      </c>
      <c r="B61" s="3">
        <v>45748</v>
      </c>
      <c r="C61" s="1" t="s">
        <v>15</v>
      </c>
      <c r="D61" s="1" t="s">
        <v>21</v>
      </c>
      <c r="E61" s="1">
        <v>52952.12</v>
      </c>
      <c r="F61" s="1">
        <v>4377</v>
      </c>
      <c r="G61" s="1">
        <v>9.1999999999999998E-2</v>
      </c>
      <c r="H61" s="1">
        <v>14</v>
      </c>
      <c r="I61" s="1">
        <v>88.6</v>
      </c>
      <c r="J61" s="1">
        <v>13.59</v>
      </c>
      <c r="K61" s="1">
        <v>0</v>
      </c>
      <c r="L61" s="1">
        <v>3.1</v>
      </c>
      <c r="M61" s="1">
        <v>553756.43000000005</v>
      </c>
      <c r="N61" s="1">
        <v>86166.77</v>
      </c>
    </row>
    <row r="62" spans="1:14">
      <c r="A62" s="1" t="s">
        <v>37</v>
      </c>
      <c r="B62" s="3">
        <v>45658</v>
      </c>
      <c r="C62" s="1" t="s">
        <v>24</v>
      </c>
      <c r="D62" s="1" t="s">
        <v>18</v>
      </c>
      <c r="E62" s="1">
        <v>74907.98</v>
      </c>
      <c r="F62" s="1">
        <v>5306</v>
      </c>
      <c r="G62" s="1">
        <v>6.2E-2</v>
      </c>
      <c r="H62" s="1">
        <v>16</v>
      </c>
      <c r="I62" s="1">
        <v>95.6</v>
      </c>
      <c r="J62" s="1">
        <v>1.02</v>
      </c>
      <c r="K62" s="1">
        <v>0</v>
      </c>
      <c r="L62" s="1">
        <v>3.7</v>
      </c>
      <c r="M62" s="1">
        <v>749559.71</v>
      </c>
      <c r="N62" s="1">
        <v>144522.53</v>
      </c>
    </row>
    <row r="63" spans="1:14">
      <c r="A63" s="1" t="s">
        <v>37</v>
      </c>
      <c r="B63" s="3">
        <v>45689</v>
      </c>
      <c r="C63" s="1" t="s">
        <v>24</v>
      </c>
      <c r="D63" s="1" t="s">
        <v>18</v>
      </c>
      <c r="E63" s="1">
        <v>37284.660000000003</v>
      </c>
      <c r="F63" s="1">
        <v>3928</v>
      </c>
      <c r="G63" s="1">
        <v>7.3999999999999996E-2</v>
      </c>
      <c r="H63" s="1">
        <v>12</v>
      </c>
      <c r="I63" s="1">
        <v>86.5</v>
      </c>
      <c r="J63" s="1">
        <v>1.64</v>
      </c>
      <c r="K63" s="1">
        <v>0</v>
      </c>
      <c r="L63" s="1">
        <v>3.8</v>
      </c>
      <c r="M63" s="1">
        <v>615966.48</v>
      </c>
      <c r="N63" s="1">
        <v>91509.38</v>
      </c>
    </row>
    <row r="64" spans="1:14">
      <c r="A64" s="1" t="s">
        <v>37</v>
      </c>
      <c r="B64" s="3">
        <v>45717</v>
      </c>
      <c r="C64" s="1" t="s">
        <v>24</v>
      </c>
      <c r="D64" s="1" t="s">
        <v>18</v>
      </c>
      <c r="E64" s="1">
        <v>50343.19</v>
      </c>
      <c r="F64" s="1">
        <v>3845</v>
      </c>
      <c r="G64" s="1">
        <v>0.113</v>
      </c>
      <c r="H64" s="1">
        <v>9</v>
      </c>
      <c r="I64" s="1">
        <v>88.7</v>
      </c>
      <c r="J64" s="1">
        <v>5.15</v>
      </c>
      <c r="K64" s="1">
        <v>0</v>
      </c>
      <c r="L64" s="1">
        <v>3.3</v>
      </c>
      <c r="M64" s="1">
        <v>572011.19999999995</v>
      </c>
      <c r="N64" s="1">
        <v>101409.68</v>
      </c>
    </row>
    <row r="65" spans="1:14">
      <c r="A65" s="1" t="s">
        <v>37</v>
      </c>
      <c r="B65" s="3">
        <v>45748</v>
      </c>
      <c r="C65" s="1" t="s">
        <v>24</v>
      </c>
      <c r="D65" s="1" t="s">
        <v>18</v>
      </c>
      <c r="E65" s="1">
        <v>74954.47</v>
      </c>
      <c r="F65" s="1">
        <v>6620</v>
      </c>
      <c r="G65" s="1">
        <v>5.3999999999999999E-2</v>
      </c>
      <c r="H65" s="1">
        <v>17</v>
      </c>
      <c r="I65" s="1">
        <v>91.1</v>
      </c>
      <c r="J65" s="1">
        <v>1.1100000000000001</v>
      </c>
      <c r="K65" s="1">
        <v>0</v>
      </c>
      <c r="L65" s="1">
        <v>3.5</v>
      </c>
      <c r="M65" s="1">
        <v>761860.19</v>
      </c>
      <c r="N65" s="1">
        <v>133279.38</v>
      </c>
    </row>
    <row r="66" spans="1:14">
      <c r="A66" s="1" t="s">
        <v>38</v>
      </c>
      <c r="B66" s="3">
        <v>45658</v>
      </c>
      <c r="C66" s="1" t="s">
        <v>27</v>
      </c>
      <c r="D66" s="1" t="s">
        <v>18</v>
      </c>
      <c r="E66" s="1">
        <v>70040.31</v>
      </c>
      <c r="F66" s="1">
        <v>9175</v>
      </c>
      <c r="G66" s="1">
        <v>0.107</v>
      </c>
      <c r="H66" s="1">
        <v>23</v>
      </c>
      <c r="I66" s="1">
        <v>95.1</v>
      </c>
      <c r="J66" s="1">
        <v>6.08</v>
      </c>
      <c r="K66" s="1">
        <v>1</v>
      </c>
      <c r="L66" s="1">
        <v>3.4</v>
      </c>
      <c r="M66" s="1">
        <v>784502.68</v>
      </c>
      <c r="N66" s="1">
        <v>129519.72</v>
      </c>
    </row>
    <row r="67" spans="1:14">
      <c r="A67" s="1" t="s">
        <v>38</v>
      </c>
      <c r="B67" s="3">
        <v>45689</v>
      </c>
      <c r="C67" s="1" t="s">
        <v>27</v>
      </c>
      <c r="D67" s="1" t="s">
        <v>18</v>
      </c>
      <c r="E67" s="1">
        <v>51148.69</v>
      </c>
      <c r="F67" s="1">
        <v>7940</v>
      </c>
      <c r="G67" s="1">
        <v>0.156</v>
      </c>
      <c r="H67" s="1">
        <v>18</v>
      </c>
      <c r="I67" s="1">
        <v>93.3</v>
      </c>
      <c r="J67" s="1">
        <v>10.91</v>
      </c>
      <c r="K67" s="1">
        <v>0</v>
      </c>
      <c r="L67" s="1">
        <v>3.6</v>
      </c>
      <c r="M67" s="1">
        <v>717141.55</v>
      </c>
      <c r="N67" s="1">
        <v>134013.60999999999</v>
      </c>
    </row>
    <row r="68" spans="1:14">
      <c r="A68" s="1" t="s">
        <v>38</v>
      </c>
      <c r="B68" s="3">
        <v>45717</v>
      </c>
      <c r="C68" s="1" t="s">
        <v>27</v>
      </c>
      <c r="D68" s="1" t="s">
        <v>18</v>
      </c>
      <c r="E68" s="1">
        <v>79346.100000000006</v>
      </c>
      <c r="F68" s="1">
        <v>9628</v>
      </c>
      <c r="G68" s="1">
        <v>0.10199999999999999</v>
      </c>
      <c r="H68" s="1">
        <v>20</v>
      </c>
      <c r="I68" s="1">
        <v>99</v>
      </c>
      <c r="J68" s="1">
        <v>19.010000000000002</v>
      </c>
      <c r="K68" s="1">
        <v>1</v>
      </c>
      <c r="L68" s="1">
        <v>3.2</v>
      </c>
      <c r="M68" s="1">
        <v>685379.08</v>
      </c>
      <c r="N68" s="1">
        <v>106898.82</v>
      </c>
    </row>
    <row r="69" spans="1:14">
      <c r="A69" s="1" t="s">
        <v>38</v>
      </c>
      <c r="B69" s="3">
        <v>45748</v>
      </c>
      <c r="C69" s="1" t="s">
        <v>27</v>
      </c>
      <c r="D69" s="1" t="s">
        <v>18</v>
      </c>
      <c r="E69" s="1">
        <v>42018.400000000001</v>
      </c>
      <c r="F69" s="1">
        <v>8296</v>
      </c>
      <c r="G69" s="1">
        <v>0.115</v>
      </c>
      <c r="H69" s="1">
        <v>17</v>
      </c>
      <c r="I69" s="1">
        <v>91.8</v>
      </c>
      <c r="J69" s="1">
        <v>0.77</v>
      </c>
      <c r="K69" s="1">
        <v>0</v>
      </c>
      <c r="L69" s="1">
        <v>3.4</v>
      </c>
      <c r="M69" s="1">
        <v>740496.65</v>
      </c>
      <c r="N69" s="1">
        <v>128020.9</v>
      </c>
    </row>
    <row r="70" spans="1:14">
      <c r="A70" s="1" t="s">
        <v>39</v>
      </c>
      <c r="B70" s="3">
        <v>45658</v>
      </c>
      <c r="C70" s="1" t="s">
        <v>15</v>
      </c>
      <c r="D70" s="1" t="s">
        <v>18</v>
      </c>
      <c r="E70" s="1">
        <v>70937.240000000005</v>
      </c>
      <c r="F70" s="1">
        <v>3595</v>
      </c>
      <c r="G70" s="1">
        <v>0.14099999999999999</v>
      </c>
      <c r="H70" s="1">
        <v>11</v>
      </c>
      <c r="I70" s="1">
        <v>88.9</v>
      </c>
      <c r="J70" s="1">
        <v>2.83</v>
      </c>
      <c r="K70" s="1">
        <v>1</v>
      </c>
      <c r="L70" s="1">
        <v>3.3</v>
      </c>
      <c r="M70" s="1">
        <v>661927.14</v>
      </c>
      <c r="N70" s="1">
        <v>79218.570000000007</v>
      </c>
    </row>
    <row r="71" spans="1:14">
      <c r="A71" s="1" t="s">
        <v>39</v>
      </c>
      <c r="B71" s="3">
        <v>45689</v>
      </c>
      <c r="C71" s="1" t="s">
        <v>15</v>
      </c>
      <c r="D71" s="1" t="s">
        <v>18</v>
      </c>
      <c r="E71" s="1">
        <v>36813.449999999997</v>
      </c>
      <c r="F71" s="1">
        <v>2834</v>
      </c>
      <c r="G71" s="1">
        <v>0.191</v>
      </c>
      <c r="H71" s="1">
        <v>11</v>
      </c>
      <c r="I71" s="1">
        <v>81.8</v>
      </c>
      <c r="J71" s="1">
        <v>2.33</v>
      </c>
      <c r="K71" s="1">
        <v>0</v>
      </c>
      <c r="L71" s="1">
        <v>3.3</v>
      </c>
      <c r="M71" s="1">
        <v>479050.5</v>
      </c>
      <c r="N71" s="1">
        <v>53651.11</v>
      </c>
    </row>
    <row r="72" spans="1:14">
      <c r="A72" s="1" t="s">
        <v>39</v>
      </c>
      <c r="B72" s="3">
        <v>45717</v>
      </c>
      <c r="C72" s="1" t="s">
        <v>15</v>
      </c>
      <c r="D72" s="1" t="s">
        <v>18</v>
      </c>
      <c r="E72" s="1">
        <v>60571.82</v>
      </c>
      <c r="F72" s="1">
        <v>3193</v>
      </c>
      <c r="G72" s="1">
        <v>0.19700000000000001</v>
      </c>
      <c r="H72" s="1">
        <v>7</v>
      </c>
      <c r="I72" s="1">
        <v>99</v>
      </c>
      <c r="J72" s="1">
        <v>1.43</v>
      </c>
      <c r="K72" s="1">
        <v>0</v>
      </c>
      <c r="L72" s="1">
        <v>3.2</v>
      </c>
      <c r="M72" s="1">
        <v>605023.87</v>
      </c>
      <c r="N72" s="1">
        <v>98545.81</v>
      </c>
    </row>
    <row r="73" spans="1:14">
      <c r="A73" s="1" t="s">
        <v>39</v>
      </c>
      <c r="B73" s="3">
        <v>45748</v>
      </c>
      <c r="C73" s="1" t="s">
        <v>15</v>
      </c>
      <c r="D73" s="1" t="s">
        <v>18</v>
      </c>
      <c r="E73" s="1">
        <v>55081.16</v>
      </c>
      <c r="F73" s="1">
        <v>5485</v>
      </c>
      <c r="G73" s="1">
        <v>3.5999999999999997E-2</v>
      </c>
      <c r="H73" s="1">
        <v>12</v>
      </c>
      <c r="I73" s="1">
        <v>88</v>
      </c>
      <c r="J73" s="1"/>
      <c r="K73" s="1">
        <v>0</v>
      </c>
      <c r="L73" s="1">
        <v>3.5</v>
      </c>
      <c r="M73" s="1">
        <v>674774.09</v>
      </c>
      <c r="N73" s="1">
        <v>141917.59</v>
      </c>
    </row>
    <row r="74" spans="1:14">
      <c r="A74" s="1" t="s">
        <v>40</v>
      </c>
      <c r="B74" s="3">
        <v>45658</v>
      </c>
      <c r="C74" s="1" t="s">
        <v>15</v>
      </c>
      <c r="D74" s="1" t="s">
        <v>16</v>
      </c>
      <c r="E74" s="1">
        <v>46201.46</v>
      </c>
      <c r="F74" s="1">
        <v>5918</v>
      </c>
      <c r="G74" s="1">
        <v>0.27700000000000002</v>
      </c>
      <c r="H74" s="1">
        <v>13</v>
      </c>
      <c r="I74" s="1">
        <v>78.8</v>
      </c>
      <c r="J74" s="1">
        <v>4.91</v>
      </c>
      <c r="K74" s="1">
        <v>0</v>
      </c>
      <c r="L74" s="1">
        <v>4.5</v>
      </c>
      <c r="M74" s="1">
        <v>616069.41</v>
      </c>
      <c r="N74" s="1">
        <v>54453.99</v>
      </c>
    </row>
    <row r="75" spans="1:14">
      <c r="A75" s="1" t="s">
        <v>40</v>
      </c>
      <c r="B75" s="3">
        <v>45689</v>
      </c>
      <c r="C75" s="1" t="s">
        <v>15</v>
      </c>
      <c r="D75" s="1" t="s">
        <v>16</v>
      </c>
      <c r="E75" s="1">
        <v>53762.92</v>
      </c>
      <c r="F75" s="1">
        <v>6821</v>
      </c>
      <c r="G75" s="1">
        <v>6.6000000000000003E-2</v>
      </c>
      <c r="H75" s="1">
        <v>19</v>
      </c>
      <c r="I75" s="1">
        <v>94.6</v>
      </c>
      <c r="J75" s="1">
        <v>7.03</v>
      </c>
      <c r="K75" s="1">
        <v>0</v>
      </c>
      <c r="L75" s="1">
        <v>4.4000000000000004</v>
      </c>
      <c r="M75" s="1">
        <v>630829.93999999994</v>
      </c>
      <c r="N75" s="1">
        <v>117090.02</v>
      </c>
    </row>
    <row r="76" spans="1:14">
      <c r="A76" s="1" t="s">
        <v>40</v>
      </c>
      <c r="B76" s="3">
        <v>45717</v>
      </c>
      <c r="C76" s="1" t="s">
        <v>15</v>
      </c>
      <c r="D76" s="1" t="s">
        <v>16</v>
      </c>
      <c r="E76" s="1">
        <v>70144.78</v>
      </c>
      <c r="F76" s="1">
        <v>6806</v>
      </c>
      <c r="G76" s="1">
        <v>0.17799999999999999</v>
      </c>
      <c r="H76" s="1">
        <v>20</v>
      </c>
      <c r="I76" s="1">
        <v>93.1</v>
      </c>
      <c r="J76" s="1">
        <v>0.28000000000000003</v>
      </c>
      <c r="K76" s="1">
        <v>1</v>
      </c>
      <c r="L76" s="1">
        <v>4.3</v>
      </c>
      <c r="M76" s="1">
        <v>788087.68</v>
      </c>
      <c r="N76" s="1">
        <v>116803.42</v>
      </c>
    </row>
    <row r="77" spans="1:14">
      <c r="A77" s="1" t="s">
        <v>40</v>
      </c>
      <c r="B77" s="3">
        <v>45748</v>
      </c>
      <c r="C77" s="1" t="s">
        <v>15</v>
      </c>
      <c r="D77" s="1" t="s">
        <v>16</v>
      </c>
      <c r="E77" s="1">
        <v>58749.63</v>
      </c>
      <c r="F77" s="1">
        <v>8252</v>
      </c>
      <c r="G77" s="1">
        <v>0.20300000000000001</v>
      </c>
      <c r="H77" s="1">
        <v>20</v>
      </c>
      <c r="I77" s="1">
        <v>85.2</v>
      </c>
      <c r="J77" s="1">
        <v>3.61</v>
      </c>
      <c r="K77" s="1">
        <v>0</v>
      </c>
      <c r="L77" s="1">
        <v>4.5</v>
      </c>
      <c r="M77" s="1">
        <v>680840.36</v>
      </c>
      <c r="N77" s="1">
        <v>68007.679999999993</v>
      </c>
    </row>
    <row r="78" spans="1:14">
      <c r="A78" s="1" t="s">
        <v>41</v>
      </c>
      <c r="B78" s="3">
        <v>45658</v>
      </c>
      <c r="C78" s="1" t="s">
        <v>24</v>
      </c>
      <c r="D78" s="1" t="s">
        <v>18</v>
      </c>
      <c r="E78" s="1">
        <v>56973.18</v>
      </c>
      <c r="F78" s="1">
        <v>6662</v>
      </c>
      <c r="G78" s="1">
        <v>0.1</v>
      </c>
      <c r="H78" s="1">
        <v>15</v>
      </c>
      <c r="I78" s="1">
        <v>77.7</v>
      </c>
      <c r="J78" s="1">
        <v>7.52</v>
      </c>
      <c r="K78" s="1">
        <v>1</v>
      </c>
      <c r="L78" s="1">
        <v>3.2</v>
      </c>
      <c r="M78" s="1">
        <v>643657.47</v>
      </c>
      <c r="N78" s="1">
        <v>87022.45</v>
      </c>
    </row>
    <row r="79" spans="1:14">
      <c r="A79" s="1" t="s">
        <v>41</v>
      </c>
      <c r="B79" s="3">
        <v>45689</v>
      </c>
      <c r="C79" s="1" t="s">
        <v>24</v>
      </c>
      <c r="D79" s="1" t="s">
        <v>18</v>
      </c>
      <c r="E79" s="1">
        <v>54872.82</v>
      </c>
      <c r="F79" s="1">
        <v>5962</v>
      </c>
      <c r="G79" s="1">
        <v>6.4000000000000001E-2</v>
      </c>
      <c r="H79" s="1">
        <v>12</v>
      </c>
      <c r="I79" s="1">
        <v>85.4</v>
      </c>
      <c r="J79" s="1">
        <v>2.58</v>
      </c>
      <c r="K79" s="1">
        <v>0</v>
      </c>
      <c r="L79" s="1">
        <v>2.9</v>
      </c>
      <c r="M79" s="1">
        <v>691112.6</v>
      </c>
      <c r="N79" s="1">
        <v>109212.83</v>
      </c>
    </row>
    <row r="80" spans="1:14">
      <c r="A80" s="1" t="s">
        <v>41</v>
      </c>
      <c r="B80" s="3">
        <v>45717</v>
      </c>
      <c r="C80" s="1" t="s">
        <v>24</v>
      </c>
      <c r="D80" s="1" t="s">
        <v>18</v>
      </c>
      <c r="E80" s="1">
        <v>80562.81</v>
      </c>
      <c r="F80" s="1">
        <v>7470</v>
      </c>
      <c r="G80" s="1">
        <v>0.17199999999999999</v>
      </c>
      <c r="H80" s="1">
        <v>16</v>
      </c>
      <c r="I80" s="1">
        <v>83.5</v>
      </c>
      <c r="J80" s="1">
        <v>2.29</v>
      </c>
      <c r="K80" s="1">
        <v>0</v>
      </c>
      <c r="L80" s="1">
        <v>3.3</v>
      </c>
      <c r="M80" s="1">
        <v>776922.17</v>
      </c>
      <c r="N80" s="1">
        <v>150701.93</v>
      </c>
    </row>
    <row r="81" spans="1:14">
      <c r="A81" s="1" t="s">
        <v>41</v>
      </c>
      <c r="B81" s="3">
        <v>45748</v>
      </c>
      <c r="C81" s="1" t="s">
        <v>24</v>
      </c>
      <c r="D81" s="1" t="s">
        <v>18</v>
      </c>
      <c r="E81" s="1">
        <v>77999.899999999994</v>
      </c>
      <c r="F81" s="1">
        <v>5974</v>
      </c>
      <c r="G81" s="1">
        <v>0.252</v>
      </c>
      <c r="H81" s="1">
        <v>14</v>
      </c>
      <c r="I81" s="1">
        <v>81.3</v>
      </c>
      <c r="J81" s="1">
        <v>2.39</v>
      </c>
      <c r="K81" s="1">
        <v>0</v>
      </c>
      <c r="L81" s="1">
        <v>3.2</v>
      </c>
      <c r="M81" s="1">
        <v>636561.34</v>
      </c>
      <c r="N81" s="1">
        <v>93861.06</v>
      </c>
    </row>
    <row r="82" spans="1:14">
      <c r="A82" s="1" t="s">
        <v>42</v>
      </c>
      <c r="B82" s="3">
        <v>45658</v>
      </c>
      <c r="C82" s="1" t="s">
        <v>27</v>
      </c>
      <c r="D82" s="1" t="s">
        <v>28</v>
      </c>
      <c r="E82" s="1">
        <v>60881.01</v>
      </c>
      <c r="F82" s="1">
        <v>5410</v>
      </c>
      <c r="G82" s="1">
        <v>0.17899999999999999</v>
      </c>
      <c r="H82" s="1">
        <v>15</v>
      </c>
      <c r="I82" s="1">
        <v>83.9</v>
      </c>
      <c r="J82" s="1">
        <v>5.24</v>
      </c>
      <c r="K82" s="1">
        <v>0</v>
      </c>
      <c r="L82" s="1">
        <v>4.5999999999999996</v>
      </c>
      <c r="M82" s="1">
        <v>621369.57999999996</v>
      </c>
      <c r="N82" s="1">
        <v>85493.64</v>
      </c>
    </row>
    <row r="83" spans="1:14">
      <c r="A83" s="1" t="s">
        <v>42</v>
      </c>
      <c r="B83" s="3">
        <v>45689</v>
      </c>
      <c r="C83" s="1" t="s">
        <v>27</v>
      </c>
      <c r="D83" s="1" t="s">
        <v>28</v>
      </c>
      <c r="E83" s="1">
        <v>60628.38</v>
      </c>
      <c r="F83" s="1">
        <v>4451</v>
      </c>
      <c r="G83" s="1">
        <v>9.5000000000000001E-2</v>
      </c>
      <c r="H83" s="1">
        <v>10</v>
      </c>
      <c r="I83" s="1">
        <v>89.6</v>
      </c>
      <c r="J83" s="1">
        <v>3.17</v>
      </c>
      <c r="K83" s="1">
        <v>0</v>
      </c>
      <c r="L83" s="1">
        <v>4.5999999999999996</v>
      </c>
      <c r="M83" s="1">
        <v>682208.01</v>
      </c>
      <c r="N83" s="1">
        <v>110318.84</v>
      </c>
    </row>
    <row r="84" spans="1:14">
      <c r="A84" s="1" t="s">
        <v>42</v>
      </c>
      <c r="B84" s="3">
        <v>45717</v>
      </c>
      <c r="C84" s="1" t="s">
        <v>27</v>
      </c>
      <c r="D84" s="1" t="s">
        <v>28</v>
      </c>
      <c r="E84" s="1">
        <v>72731.14</v>
      </c>
      <c r="F84" s="1">
        <v>4644</v>
      </c>
      <c r="G84" s="1">
        <v>8.4000000000000005E-2</v>
      </c>
      <c r="H84" s="1">
        <v>15</v>
      </c>
      <c r="I84" s="1">
        <v>87.1</v>
      </c>
      <c r="J84" s="1">
        <v>2.66</v>
      </c>
      <c r="K84" s="1">
        <v>0</v>
      </c>
      <c r="L84" s="1">
        <v>4.5999999999999996</v>
      </c>
      <c r="M84" s="1">
        <v>727241.86</v>
      </c>
      <c r="N84" s="1">
        <v>155810.29999999999</v>
      </c>
    </row>
    <row r="85" spans="1:14">
      <c r="A85" s="1" t="s">
        <v>42</v>
      </c>
      <c r="B85" s="3">
        <v>45748</v>
      </c>
      <c r="C85" s="1" t="s">
        <v>27</v>
      </c>
      <c r="D85" s="1" t="s">
        <v>28</v>
      </c>
      <c r="E85" s="1">
        <v>36475.71</v>
      </c>
      <c r="F85" s="1">
        <v>3559</v>
      </c>
      <c r="G85" s="1">
        <v>0.03</v>
      </c>
      <c r="H85" s="1">
        <v>8</v>
      </c>
      <c r="I85" s="1">
        <v>83.6</v>
      </c>
      <c r="J85" s="1">
        <v>1.41</v>
      </c>
      <c r="K85" s="1">
        <v>0</v>
      </c>
      <c r="L85" s="1">
        <v>4.2</v>
      </c>
      <c r="M85" s="1">
        <v>569100.78</v>
      </c>
      <c r="N85" s="1">
        <v>104808.78</v>
      </c>
    </row>
    <row r="86" spans="1:14">
      <c r="A86" s="1" t="s">
        <v>43</v>
      </c>
      <c r="B86" s="3">
        <v>45658</v>
      </c>
      <c r="C86" s="1" t="s">
        <v>27</v>
      </c>
      <c r="D86" s="1" t="s">
        <v>18</v>
      </c>
      <c r="E86" s="1">
        <v>55388.11</v>
      </c>
      <c r="F86" s="1">
        <v>3091</v>
      </c>
      <c r="G86" s="1">
        <v>0.108</v>
      </c>
      <c r="H86" s="1">
        <v>7</v>
      </c>
      <c r="I86" s="1">
        <v>85.4</v>
      </c>
      <c r="J86" s="1">
        <v>7.34</v>
      </c>
      <c r="K86" s="1">
        <v>0</v>
      </c>
      <c r="L86" s="1">
        <v>4.9000000000000004</v>
      </c>
      <c r="M86" s="1">
        <v>574436.29</v>
      </c>
      <c r="N86" s="1">
        <v>80271.990000000005</v>
      </c>
    </row>
    <row r="87" spans="1:14">
      <c r="A87" s="1" t="s">
        <v>43</v>
      </c>
      <c r="B87" s="3">
        <v>45689</v>
      </c>
      <c r="C87" s="1" t="s">
        <v>27</v>
      </c>
      <c r="D87" s="1" t="s">
        <v>18</v>
      </c>
      <c r="E87" s="1">
        <v>88443.77</v>
      </c>
      <c r="F87" s="1">
        <v>4004</v>
      </c>
      <c r="G87" s="1">
        <v>0.20599999999999999</v>
      </c>
      <c r="H87" s="1">
        <v>11</v>
      </c>
      <c r="I87" s="1">
        <v>91.9</v>
      </c>
      <c r="J87" s="1">
        <v>5.95</v>
      </c>
      <c r="K87" s="1">
        <v>0</v>
      </c>
      <c r="L87" s="1"/>
      <c r="M87" s="1">
        <v>611766.72</v>
      </c>
      <c r="N87" s="1">
        <v>88275.61</v>
      </c>
    </row>
    <row r="88" spans="1:14">
      <c r="A88" s="1" t="s">
        <v>43</v>
      </c>
      <c r="B88" s="3">
        <v>45717</v>
      </c>
      <c r="C88" s="1" t="s">
        <v>27</v>
      </c>
      <c r="D88" s="1" t="s">
        <v>18</v>
      </c>
      <c r="E88" s="1">
        <v>78231.91</v>
      </c>
      <c r="F88" s="1">
        <v>3788</v>
      </c>
      <c r="G88" s="1">
        <v>5.8999999999999997E-2</v>
      </c>
      <c r="H88" s="1">
        <v>11</v>
      </c>
      <c r="I88" s="1">
        <v>88.5</v>
      </c>
      <c r="J88" s="1">
        <v>15.51</v>
      </c>
      <c r="K88" s="1">
        <v>0</v>
      </c>
      <c r="L88" s="1">
        <v>4.3</v>
      </c>
      <c r="M88" s="1">
        <v>614596.31999999995</v>
      </c>
      <c r="N88" s="1">
        <v>131199.41</v>
      </c>
    </row>
    <row r="89" spans="1:14">
      <c r="A89" s="1" t="s">
        <v>43</v>
      </c>
      <c r="B89" s="3">
        <v>45748</v>
      </c>
      <c r="C89" s="1" t="s">
        <v>27</v>
      </c>
      <c r="D89" s="1" t="s">
        <v>18</v>
      </c>
      <c r="E89" s="1">
        <v>18996.32</v>
      </c>
      <c r="F89" s="1">
        <v>1260</v>
      </c>
      <c r="G89" s="1">
        <v>0.14499999999999999</v>
      </c>
      <c r="H89" s="1">
        <v>9</v>
      </c>
      <c r="I89" s="1">
        <v>86.4</v>
      </c>
      <c r="J89" s="1">
        <v>4.3099999999999996</v>
      </c>
      <c r="K89" s="1">
        <v>0</v>
      </c>
      <c r="L89" s="1">
        <v>4.5999999999999996</v>
      </c>
      <c r="M89" s="1">
        <v>450711.92</v>
      </c>
      <c r="N89" s="1">
        <v>90043.76</v>
      </c>
    </row>
    <row r="90" spans="1:14">
      <c r="A90" s="1" t="s">
        <v>44</v>
      </c>
      <c r="B90" s="3">
        <v>45658</v>
      </c>
      <c r="C90" s="1" t="s">
        <v>24</v>
      </c>
      <c r="D90" s="1" t="s">
        <v>28</v>
      </c>
      <c r="E90" s="1">
        <v>50517.94</v>
      </c>
      <c r="F90" s="1">
        <v>7024</v>
      </c>
      <c r="G90" s="1">
        <v>2.9000000000000001E-2</v>
      </c>
      <c r="H90" s="1">
        <v>18</v>
      </c>
      <c r="I90" s="1">
        <v>79.2</v>
      </c>
      <c r="J90" s="1">
        <v>6.61</v>
      </c>
      <c r="K90" s="1">
        <v>1</v>
      </c>
      <c r="L90" s="1">
        <v>4.0999999999999996</v>
      </c>
      <c r="M90" s="1">
        <v>711213.46</v>
      </c>
      <c r="N90" s="1">
        <v>105863.26</v>
      </c>
    </row>
    <row r="91" spans="1:14">
      <c r="A91" s="1" t="s">
        <v>44</v>
      </c>
      <c r="B91" s="3">
        <v>45689</v>
      </c>
      <c r="C91" s="1" t="s">
        <v>24</v>
      </c>
      <c r="D91" s="1" t="s">
        <v>28</v>
      </c>
      <c r="E91" s="1">
        <v>141540.29</v>
      </c>
      <c r="F91" s="1">
        <v>5400</v>
      </c>
      <c r="G91" s="1">
        <v>1.2999999999999999E-2</v>
      </c>
      <c r="H91" s="1">
        <v>12</v>
      </c>
      <c r="I91" s="1">
        <v>87</v>
      </c>
      <c r="J91" s="1">
        <v>4.26</v>
      </c>
      <c r="K91" s="1">
        <v>0</v>
      </c>
      <c r="L91" s="1">
        <v>4.5</v>
      </c>
      <c r="M91" s="1">
        <v>627171.9</v>
      </c>
      <c r="N91" s="1">
        <v>105772.75</v>
      </c>
    </row>
    <row r="92" spans="1:14">
      <c r="A92" s="1" t="s">
        <v>44</v>
      </c>
      <c r="B92" s="3">
        <v>45717</v>
      </c>
      <c r="C92" s="1" t="s">
        <v>24</v>
      </c>
      <c r="D92" s="1" t="s">
        <v>28</v>
      </c>
      <c r="E92" s="1">
        <v>82116.19</v>
      </c>
      <c r="F92" s="1">
        <v>5988</v>
      </c>
      <c r="G92" s="1">
        <v>0.04</v>
      </c>
      <c r="H92" s="1">
        <v>17</v>
      </c>
      <c r="I92" s="1">
        <v>91.8</v>
      </c>
      <c r="J92" s="1">
        <v>5.75</v>
      </c>
      <c r="K92" s="1">
        <v>0</v>
      </c>
      <c r="L92" s="1">
        <v>4.7</v>
      </c>
      <c r="M92" s="1">
        <v>739852.58</v>
      </c>
      <c r="N92" s="1">
        <v>129386.43</v>
      </c>
    </row>
    <row r="93" spans="1:14">
      <c r="A93" s="1" t="s">
        <v>44</v>
      </c>
      <c r="B93" s="3">
        <v>45748</v>
      </c>
      <c r="C93" s="1" t="s">
        <v>24</v>
      </c>
      <c r="D93" s="1" t="s">
        <v>28</v>
      </c>
      <c r="E93" s="1">
        <v>31207.51</v>
      </c>
      <c r="F93" s="1">
        <v>3701</v>
      </c>
      <c r="G93" s="1">
        <v>4.2999999999999997E-2</v>
      </c>
      <c r="H93" s="1">
        <v>11</v>
      </c>
      <c r="I93" s="1">
        <v>84.7</v>
      </c>
      <c r="J93" s="1">
        <v>0.33</v>
      </c>
      <c r="K93" s="1">
        <v>0</v>
      </c>
      <c r="L93" s="1">
        <v>4.3</v>
      </c>
      <c r="M93" s="1">
        <v>586307.22</v>
      </c>
      <c r="N93" s="1">
        <v>73927.850000000006</v>
      </c>
    </row>
    <row r="94" spans="1:14">
      <c r="A94" s="1" t="s">
        <v>45</v>
      </c>
      <c r="B94" s="3">
        <v>45658</v>
      </c>
      <c r="C94" s="1" t="s">
        <v>27</v>
      </c>
      <c r="D94" s="1" t="s">
        <v>16</v>
      </c>
      <c r="E94" s="1">
        <v>38966.589999999997</v>
      </c>
      <c r="F94" s="1">
        <v>4509</v>
      </c>
      <c r="G94" s="1">
        <v>0.19400000000000001</v>
      </c>
      <c r="H94" s="1">
        <v>14</v>
      </c>
      <c r="I94" s="1">
        <v>91.1</v>
      </c>
      <c r="J94" s="1">
        <v>2.92</v>
      </c>
      <c r="K94" s="1">
        <v>0</v>
      </c>
      <c r="L94" s="1">
        <v>4.5999999999999996</v>
      </c>
      <c r="M94" s="1">
        <v>585937.48</v>
      </c>
      <c r="N94" s="1">
        <v>82624.2</v>
      </c>
    </row>
    <row r="95" spans="1:14">
      <c r="A95" s="1" t="s">
        <v>45</v>
      </c>
      <c r="B95" s="3">
        <v>45689</v>
      </c>
      <c r="C95" s="1" t="s">
        <v>27</v>
      </c>
      <c r="D95" s="1" t="s">
        <v>16</v>
      </c>
      <c r="E95" s="1">
        <v>67439.3</v>
      </c>
      <c r="F95" s="1">
        <v>6477</v>
      </c>
      <c r="G95" s="1">
        <v>0</v>
      </c>
      <c r="H95" s="1">
        <v>16</v>
      </c>
      <c r="I95" s="1">
        <v>90.9</v>
      </c>
      <c r="J95" s="1">
        <v>1.64</v>
      </c>
      <c r="K95" s="1">
        <v>0</v>
      </c>
      <c r="L95" s="1">
        <v>4.5</v>
      </c>
      <c r="M95" s="1">
        <v>753473.55</v>
      </c>
      <c r="N95" s="1">
        <v>151527.22</v>
      </c>
    </row>
    <row r="96" spans="1:14">
      <c r="A96" s="1" t="s">
        <v>45</v>
      </c>
      <c r="B96" s="3">
        <v>45717</v>
      </c>
      <c r="C96" s="1" t="s">
        <v>27</v>
      </c>
      <c r="D96" s="1" t="s">
        <v>16</v>
      </c>
      <c r="E96" s="1">
        <v>86421.88</v>
      </c>
      <c r="F96" s="1">
        <v>7970</v>
      </c>
      <c r="G96" s="1">
        <v>7.2999999999999995E-2</v>
      </c>
      <c r="H96" s="1">
        <v>17</v>
      </c>
      <c r="I96" s="1">
        <v>91.3</v>
      </c>
      <c r="J96" s="1">
        <v>0.8</v>
      </c>
      <c r="K96" s="1">
        <v>0</v>
      </c>
      <c r="L96" s="1">
        <v>5</v>
      </c>
      <c r="M96" s="1">
        <v>838250.32</v>
      </c>
      <c r="N96" s="1">
        <v>122939.34</v>
      </c>
    </row>
    <row r="97" spans="1:14">
      <c r="A97" s="1" t="s">
        <v>45</v>
      </c>
      <c r="B97" s="3">
        <v>45748</v>
      </c>
      <c r="C97" s="1" t="s">
        <v>27</v>
      </c>
      <c r="D97" s="1" t="s">
        <v>16</v>
      </c>
      <c r="E97" s="1">
        <v>9534.65</v>
      </c>
      <c r="F97" s="1">
        <v>6057</v>
      </c>
      <c r="G97" s="1">
        <v>7.3999999999999996E-2</v>
      </c>
      <c r="H97" s="1">
        <v>15</v>
      </c>
      <c r="I97" s="1">
        <v>94.1</v>
      </c>
      <c r="J97" s="1">
        <v>5.79</v>
      </c>
      <c r="K97" s="1">
        <v>0</v>
      </c>
      <c r="L97" s="1">
        <v>4.5</v>
      </c>
      <c r="M97" s="1">
        <v>607898.12</v>
      </c>
      <c r="N97" s="1">
        <v>135404.85</v>
      </c>
    </row>
    <row r="98" spans="1:14">
      <c r="A98" s="1" t="s">
        <v>46</v>
      </c>
      <c r="B98" s="3">
        <v>45658</v>
      </c>
      <c r="C98" s="1" t="s">
        <v>27</v>
      </c>
      <c r="D98" s="1" t="s">
        <v>28</v>
      </c>
      <c r="E98" s="1">
        <v>61132.07</v>
      </c>
      <c r="F98" s="1">
        <v>6394</v>
      </c>
      <c r="G98" s="1">
        <v>0.16300000000000001</v>
      </c>
      <c r="H98" s="1">
        <v>19</v>
      </c>
      <c r="I98" s="1">
        <v>91</v>
      </c>
      <c r="J98" s="1">
        <v>19.600000000000001</v>
      </c>
      <c r="K98" s="1">
        <v>0</v>
      </c>
      <c r="L98" s="1">
        <v>4.4000000000000004</v>
      </c>
      <c r="M98" s="1">
        <v>691113.62</v>
      </c>
      <c r="N98" s="1">
        <v>135145.44</v>
      </c>
    </row>
    <row r="99" spans="1:14">
      <c r="A99" s="1" t="s">
        <v>46</v>
      </c>
      <c r="B99" s="3">
        <v>45689</v>
      </c>
      <c r="C99" s="1" t="s">
        <v>27</v>
      </c>
      <c r="D99" s="1" t="s">
        <v>28</v>
      </c>
      <c r="E99" s="1">
        <v>78839.39</v>
      </c>
      <c r="F99" s="1">
        <v>5150</v>
      </c>
      <c r="G99" s="1">
        <v>0.17100000000000001</v>
      </c>
      <c r="H99" s="1">
        <v>13</v>
      </c>
      <c r="I99" s="1">
        <v>85.8</v>
      </c>
      <c r="J99" s="1">
        <v>7.57</v>
      </c>
      <c r="K99" s="1">
        <v>0</v>
      </c>
      <c r="L99" s="1">
        <v>4.3</v>
      </c>
      <c r="M99" s="1">
        <v>735509.4</v>
      </c>
      <c r="N99" s="1">
        <v>83895.96</v>
      </c>
    </row>
    <row r="100" spans="1:14">
      <c r="A100" s="1" t="s">
        <v>46</v>
      </c>
      <c r="B100" s="3">
        <v>45717</v>
      </c>
      <c r="C100" s="1" t="s">
        <v>27</v>
      </c>
      <c r="D100" s="1" t="s">
        <v>28</v>
      </c>
      <c r="E100" s="1">
        <v>38752.800000000003</v>
      </c>
      <c r="F100" s="1">
        <v>4712</v>
      </c>
      <c r="G100" s="1">
        <v>7.4999999999999997E-2</v>
      </c>
      <c r="H100" s="1">
        <v>15</v>
      </c>
      <c r="I100" s="1">
        <v>89.7</v>
      </c>
      <c r="J100" s="1"/>
      <c r="K100" s="1">
        <v>0</v>
      </c>
      <c r="L100" s="1">
        <v>4.3</v>
      </c>
      <c r="M100" s="1">
        <v>605775.32999999996</v>
      </c>
      <c r="N100" s="1">
        <v>107194.6</v>
      </c>
    </row>
    <row r="101" spans="1:14">
      <c r="A101" s="1" t="s">
        <v>46</v>
      </c>
      <c r="B101" s="3">
        <v>45748</v>
      </c>
      <c r="C101" s="1" t="s">
        <v>27</v>
      </c>
      <c r="D101" s="1" t="s">
        <v>28</v>
      </c>
      <c r="E101" s="1">
        <v>55101.1</v>
      </c>
      <c r="F101" s="1">
        <v>5281</v>
      </c>
      <c r="G101" s="1">
        <v>0.189</v>
      </c>
      <c r="H101" s="1">
        <v>11</v>
      </c>
      <c r="I101" s="1">
        <v>91</v>
      </c>
      <c r="J101" s="1">
        <v>2.7</v>
      </c>
      <c r="K101" s="1">
        <v>0</v>
      </c>
      <c r="L101" s="1">
        <v>4.4000000000000004</v>
      </c>
      <c r="M101" s="1">
        <v>675177.68</v>
      </c>
      <c r="N101" s="1">
        <v>105628.68</v>
      </c>
    </row>
    <row r="102" spans="1:14">
      <c r="A102" s="1" t="s">
        <v>47</v>
      </c>
      <c r="B102" s="3">
        <v>45658</v>
      </c>
      <c r="C102" s="1" t="s">
        <v>15</v>
      </c>
      <c r="D102" s="1" t="s">
        <v>28</v>
      </c>
      <c r="E102" s="1">
        <v>53084.76</v>
      </c>
      <c r="F102" s="1">
        <v>3642</v>
      </c>
      <c r="G102" s="1">
        <v>0.15</v>
      </c>
      <c r="H102" s="1">
        <v>12</v>
      </c>
      <c r="I102" s="1">
        <v>91.4</v>
      </c>
      <c r="J102" s="1">
        <v>0.2</v>
      </c>
      <c r="K102" s="1">
        <v>0</v>
      </c>
      <c r="L102" s="1">
        <v>4.4000000000000004</v>
      </c>
      <c r="M102" s="1">
        <v>635181.35</v>
      </c>
      <c r="N102" s="1">
        <v>83341.25</v>
      </c>
    </row>
    <row r="103" spans="1:14">
      <c r="A103" s="1" t="s">
        <v>47</v>
      </c>
      <c r="B103" s="3">
        <v>45689</v>
      </c>
      <c r="C103" s="1" t="s">
        <v>15</v>
      </c>
      <c r="D103" s="1" t="s">
        <v>28</v>
      </c>
      <c r="E103" s="1">
        <v>63101.59</v>
      </c>
      <c r="F103" s="1">
        <v>4373</v>
      </c>
      <c r="G103" s="1">
        <v>0.17299999999999999</v>
      </c>
      <c r="H103" s="1">
        <v>14</v>
      </c>
      <c r="I103" s="1">
        <v>90.4</v>
      </c>
      <c r="J103" s="1">
        <v>7.87</v>
      </c>
      <c r="K103" s="1">
        <v>0</v>
      </c>
      <c r="L103" s="1">
        <v>4.7</v>
      </c>
      <c r="M103" s="1">
        <v>586626.93999999994</v>
      </c>
      <c r="N103" s="1">
        <v>86498.55</v>
      </c>
    </row>
    <row r="104" spans="1:14">
      <c r="A104" s="1" t="s">
        <v>47</v>
      </c>
      <c r="B104" s="3">
        <v>45717</v>
      </c>
      <c r="C104" s="1" t="s">
        <v>15</v>
      </c>
      <c r="D104" s="1" t="s">
        <v>28</v>
      </c>
      <c r="E104" s="1">
        <v>90084.4</v>
      </c>
      <c r="F104" s="1">
        <v>6832</v>
      </c>
      <c r="G104" s="1">
        <v>0.185</v>
      </c>
      <c r="H104" s="1">
        <v>14</v>
      </c>
      <c r="I104" s="1">
        <v>80.5</v>
      </c>
      <c r="J104" s="1">
        <v>0.77</v>
      </c>
      <c r="K104" s="1">
        <v>1</v>
      </c>
      <c r="L104" s="1">
        <v>4.4000000000000004</v>
      </c>
      <c r="M104" s="1">
        <v>740102.64</v>
      </c>
      <c r="N104" s="1">
        <v>114299.07</v>
      </c>
    </row>
    <row r="105" spans="1:14">
      <c r="A105" s="1" t="s">
        <v>47</v>
      </c>
      <c r="B105" s="3">
        <v>45748</v>
      </c>
      <c r="C105" s="1" t="s">
        <v>15</v>
      </c>
      <c r="D105" s="1" t="s">
        <v>28</v>
      </c>
      <c r="E105" s="1">
        <v>32266.639999999999</v>
      </c>
      <c r="F105" s="1">
        <v>2414</v>
      </c>
      <c r="G105" s="1">
        <v>0.08</v>
      </c>
      <c r="H105" s="1">
        <v>7</v>
      </c>
      <c r="I105" s="1">
        <v>92.1</v>
      </c>
      <c r="J105" s="1">
        <v>1.48</v>
      </c>
      <c r="K105" s="1">
        <v>0</v>
      </c>
      <c r="L105" s="1">
        <v>5</v>
      </c>
      <c r="M105" s="1">
        <v>625514.04</v>
      </c>
      <c r="N105" s="1">
        <v>120685.08</v>
      </c>
    </row>
    <row r="106" spans="1:14">
      <c r="A106" s="1" t="s">
        <v>48</v>
      </c>
      <c r="B106" s="3">
        <v>45658</v>
      </c>
      <c r="C106" s="1" t="s">
        <v>27</v>
      </c>
      <c r="D106" s="1" t="s">
        <v>18</v>
      </c>
      <c r="E106" s="1">
        <v>57919.07</v>
      </c>
      <c r="F106" s="1">
        <v>7374</v>
      </c>
      <c r="G106" s="1">
        <v>0.10299999999999999</v>
      </c>
      <c r="H106" s="1">
        <v>21</v>
      </c>
      <c r="I106" s="1">
        <v>82.3</v>
      </c>
      <c r="J106" s="1">
        <v>2.87</v>
      </c>
      <c r="K106" s="1">
        <v>0</v>
      </c>
      <c r="L106" s="1">
        <v>2.9</v>
      </c>
      <c r="M106" s="1">
        <v>727227.2</v>
      </c>
      <c r="N106" s="1">
        <v>121292.01</v>
      </c>
    </row>
    <row r="107" spans="1:14">
      <c r="A107" s="1" t="s">
        <v>48</v>
      </c>
      <c r="B107" s="3">
        <v>45689</v>
      </c>
      <c r="C107" s="1" t="s">
        <v>27</v>
      </c>
      <c r="D107" s="1" t="s">
        <v>18</v>
      </c>
      <c r="E107" s="1">
        <v>74679.350000000006</v>
      </c>
      <c r="F107" s="1">
        <v>8739</v>
      </c>
      <c r="G107" s="1">
        <v>5.6000000000000001E-2</v>
      </c>
      <c r="H107" s="1">
        <v>21</v>
      </c>
      <c r="I107" s="1">
        <v>91.8</v>
      </c>
      <c r="J107" s="1">
        <v>2.83</v>
      </c>
      <c r="K107" s="1">
        <v>0</v>
      </c>
      <c r="L107" s="1">
        <v>3</v>
      </c>
      <c r="M107" s="1">
        <v>783797.89</v>
      </c>
      <c r="N107" s="1">
        <v>157620.70000000001</v>
      </c>
    </row>
    <row r="108" spans="1:14">
      <c r="A108" s="1" t="s">
        <v>48</v>
      </c>
      <c r="B108" s="3">
        <v>45717</v>
      </c>
      <c r="C108" s="1" t="s">
        <v>27</v>
      </c>
      <c r="D108" s="1" t="s">
        <v>18</v>
      </c>
      <c r="E108" s="1">
        <v>64294.23</v>
      </c>
      <c r="F108" s="1">
        <v>6992</v>
      </c>
      <c r="G108" s="1">
        <v>0.13300000000000001</v>
      </c>
      <c r="H108" s="1">
        <v>14</v>
      </c>
      <c r="I108" s="1">
        <v>94.1</v>
      </c>
      <c r="J108" s="1">
        <v>0.25</v>
      </c>
      <c r="K108" s="1">
        <v>0</v>
      </c>
      <c r="L108" s="1">
        <v>3</v>
      </c>
      <c r="M108" s="1">
        <v>795153.84</v>
      </c>
      <c r="N108" s="1">
        <v>143194.21</v>
      </c>
    </row>
    <row r="109" spans="1:14">
      <c r="A109" s="1" t="s">
        <v>48</v>
      </c>
      <c r="B109" s="3">
        <v>45748</v>
      </c>
      <c r="C109" s="1" t="s">
        <v>27</v>
      </c>
      <c r="D109" s="1" t="s">
        <v>18</v>
      </c>
      <c r="E109" s="1">
        <v>31042.03</v>
      </c>
      <c r="F109" s="1">
        <v>7107</v>
      </c>
      <c r="G109" s="1">
        <v>5.0999999999999997E-2</v>
      </c>
      <c r="H109" s="1">
        <v>15</v>
      </c>
      <c r="I109" s="1">
        <v>87</v>
      </c>
      <c r="J109" s="1">
        <v>13.33</v>
      </c>
      <c r="K109" s="1">
        <v>0</v>
      </c>
      <c r="L109" s="1">
        <v>3.2</v>
      </c>
      <c r="M109" s="1">
        <v>665594.93999999994</v>
      </c>
      <c r="N109" s="1">
        <v>127597.34</v>
      </c>
    </row>
    <row r="110" spans="1:14">
      <c r="A110" s="1" t="s">
        <v>49</v>
      </c>
      <c r="B110" s="3">
        <v>45658</v>
      </c>
      <c r="C110" s="1" t="s">
        <v>15</v>
      </c>
      <c r="D110" s="1" t="s">
        <v>28</v>
      </c>
      <c r="E110" s="1">
        <v>75265.02</v>
      </c>
      <c r="F110" s="1">
        <v>6975</v>
      </c>
      <c r="G110" s="1">
        <v>0.157</v>
      </c>
      <c r="H110" s="1">
        <v>20</v>
      </c>
      <c r="I110" s="1">
        <v>73.8</v>
      </c>
      <c r="J110" s="1">
        <v>6.35</v>
      </c>
      <c r="K110" s="1">
        <v>1</v>
      </c>
      <c r="L110" s="1">
        <v>3.8</v>
      </c>
      <c r="M110" s="1">
        <v>709478.39</v>
      </c>
      <c r="N110" s="1">
        <v>71294.27</v>
      </c>
    </row>
    <row r="111" spans="1:14">
      <c r="A111" s="1" t="s">
        <v>49</v>
      </c>
      <c r="B111" s="3">
        <v>45689</v>
      </c>
      <c r="C111" s="1" t="s">
        <v>15</v>
      </c>
      <c r="D111" s="1" t="s">
        <v>28</v>
      </c>
      <c r="E111" s="1">
        <v>69411.7</v>
      </c>
      <c r="F111" s="1">
        <v>5493</v>
      </c>
      <c r="G111" s="1">
        <v>0.29199999999999998</v>
      </c>
      <c r="H111" s="1">
        <v>13</v>
      </c>
      <c r="I111" s="1">
        <v>86.5</v>
      </c>
      <c r="J111" s="1">
        <v>6.69</v>
      </c>
      <c r="K111" s="1">
        <v>0</v>
      </c>
      <c r="L111" s="1">
        <v>3.8</v>
      </c>
      <c r="M111" s="1">
        <v>664162.49</v>
      </c>
      <c r="N111" s="1">
        <v>98291.06</v>
      </c>
    </row>
    <row r="112" spans="1:14">
      <c r="A112" s="1" t="s">
        <v>49</v>
      </c>
      <c r="B112" s="3">
        <v>45717</v>
      </c>
      <c r="C112" s="1" t="s">
        <v>15</v>
      </c>
      <c r="D112" s="1" t="s">
        <v>28</v>
      </c>
      <c r="E112" s="1">
        <v>51056.15</v>
      </c>
      <c r="F112" s="1">
        <v>5686</v>
      </c>
      <c r="G112" s="1">
        <v>8.8999999999999996E-2</v>
      </c>
      <c r="H112" s="1">
        <v>13</v>
      </c>
      <c r="I112" s="1">
        <v>89.9</v>
      </c>
      <c r="J112" s="1">
        <v>1.28</v>
      </c>
      <c r="K112" s="1">
        <v>0</v>
      </c>
      <c r="L112" s="1">
        <v>4.2</v>
      </c>
      <c r="M112" s="1">
        <v>633494.21</v>
      </c>
      <c r="N112" s="1">
        <v>105739.47</v>
      </c>
    </row>
    <row r="113" spans="1:14">
      <c r="A113" s="1" t="s">
        <v>49</v>
      </c>
      <c r="B113" s="3">
        <v>45748</v>
      </c>
      <c r="C113" s="1" t="s">
        <v>15</v>
      </c>
      <c r="D113" s="1" t="s">
        <v>28</v>
      </c>
      <c r="E113" s="1">
        <v>52758.01</v>
      </c>
      <c r="F113" s="1">
        <v>4063</v>
      </c>
      <c r="G113" s="1">
        <v>5.7000000000000002E-2</v>
      </c>
      <c r="H113" s="1">
        <v>12</v>
      </c>
      <c r="I113" s="1">
        <v>91.7</v>
      </c>
      <c r="J113" s="1">
        <v>0.92</v>
      </c>
      <c r="K113" s="1">
        <v>0</v>
      </c>
      <c r="L113" s="1">
        <v>3.5</v>
      </c>
      <c r="M113" s="1">
        <v>713611.16</v>
      </c>
      <c r="N113" s="1">
        <v>129717.18</v>
      </c>
    </row>
    <row r="114" spans="1:14">
      <c r="A114" s="1" t="s">
        <v>50</v>
      </c>
      <c r="B114" s="3">
        <v>45658</v>
      </c>
      <c r="C114" s="1" t="s">
        <v>27</v>
      </c>
      <c r="D114" s="1" t="s">
        <v>28</v>
      </c>
      <c r="E114" s="1">
        <v>61426.04</v>
      </c>
      <c r="F114" s="1">
        <v>8966</v>
      </c>
      <c r="G114" s="1">
        <v>0.17299999999999999</v>
      </c>
      <c r="H114" s="1">
        <v>22</v>
      </c>
      <c r="I114" s="1">
        <v>76.400000000000006</v>
      </c>
      <c r="J114" s="1">
        <v>1.05</v>
      </c>
      <c r="K114" s="1">
        <v>0</v>
      </c>
      <c r="L114" s="1">
        <v>3.1</v>
      </c>
      <c r="M114" s="1">
        <v>778397.97</v>
      </c>
      <c r="N114" s="1">
        <v>120044.41</v>
      </c>
    </row>
    <row r="115" spans="1:14">
      <c r="A115" s="1" t="s">
        <v>50</v>
      </c>
      <c r="B115" s="3">
        <v>45689</v>
      </c>
      <c r="C115" s="1" t="s">
        <v>27</v>
      </c>
      <c r="D115" s="1" t="s">
        <v>28</v>
      </c>
      <c r="E115" s="1">
        <v>80176.34</v>
      </c>
      <c r="F115" s="1">
        <v>9489</v>
      </c>
      <c r="G115" s="1">
        <v>0.14199999999999999</v>
      </c>
      <c r="H115" s="1">
        <v>22</v>
      </c>
      <c r="I115" s="1">
        <v>94.3</v>
      </c>
      <c r="J115" s="1">
        <v>2.67</v>
      </c>
      <c r="K115" s="1">
        <v>0</v>
      </c>
      <c r="L115" s="1">
        <v>3.5</v>
      </c>
      <c r="M115" s="1">
        <v>873380.02</v>
      </c>
      <c r="N115" s="1">
        <v>149734.76</v>
      </c>
    </row>
    <row r="116" spans="1:14">
      <c r="A116" s="1" t="s">
        <v>50</v>
      </c>
      <c r="B116" s="3">
        <v>45717</v>
      </c>
      <c r="C116" s="1" t="s">
        <v>27</v>
      </c>
      <c r="D116" s="1" t="s">
        <v>28</v>
      </c>
      <c r="E116" s="1">
        <v>33605.18</v>
      </c>
      <c r="F116" s="1">
        <v>9225</v>
      </c>
      <c r="G116" s="1">
        <v>0.159</v>
      </c>
      <c r="H116" s="1">
        <v>23</v>
      </c>
      <c r="I116" s="1">
        <v>88.4</v>
      </c>
      <c r="J116" s="1">
        <v>5.91</v>
      </c>
      <c r="K116" s="1">
        <v>0</v>
      </c>
      <c r="L116" s="1">
        <v>2.8</v>
      </c>
      <c r="M116" s="1">
        <v>697287.9</v>
      </c>
      <c r="N116" s="1">
        <v>128208.33</v>
      </c>
    </row>
    <row r="117" spans="1:14">
      <c r="A117" s="1" t="s">
        <v>50</v>
      </c>
      <c r="B117" s="3">
        <v>45748</v>
      </c>
      <c r="C117" s="1" t="s">
        <v>27</v>
      </c>
      <c r="D117" s="1" t="s">
        <v>28</v>
      </c>
      <c r="E117" s="1">
        <v>25990.54</v>
      </c>
      <c r="F117" s="1">
        <v>9249</v>
      </c>
      <c r="G117" s="1">
        <v>0.13900000000000001</v>
      </c>
      <c r="H117" s="1">
        <v>23</v>
      </c>
      <c r="I117" s="1">
        <v>92.5</v>
      </c>
      <c r="J117" s="1">
        <v>6.37</v>
      </c>
      <c r="K117" s="1">
        <v>0</v>
      </c>
      <c r="L117" s="1">
        <v>3.3</v>
      </c>
      <c r="M117" s="1">
        <v>718074.79</v>
      </c>
      <c r="N117" s="1">
        <v>115819.87</v>
      </c>
    </row>
    <row r="118" spans="1:14">
      <c r="A118" s="1" t="s">
        <v>51</v>
      </c>
      <c r="B118" s="3">
        <v>45658</v>
      </c>
      <c r="C118" s="1" t="s">
        <v>27</v>
      </c>
      <c r="D118" s="1" t="s">
        <v>16</v>
      </c>
      <c r="E118" s="1">
        <v>43685.14</v>
      </c>
      <c r="F118" s="1">
        <v>7821</v>
      </c>
      <c r="G118" s="1">
        <v>0.19</v>
      </c>
      <c r="H118" s="1">
        <v>17</v>
      </c>
      <c r="I118" s="1">
        <v>91</v>
      </c>
      <c r="J118" s="1">
        <v>2.4900000000000002</v>
      </c>
      <c r="K118" s="1">
        <v>1</v>
      </c>
      <c r="L118" s="1">
        <v>4.7</v>
      </c>
      <c r="M118" s="1">
        <v>714942.43</v>
      </c>
      <c r="N118" s="1">
        <v>94697.71</v>
      </c>
    </row>
    <row r="119" spans="1:14">
      <c r="A119" s="1" t="s">
        <v>51</v>
      </c>
      <c r="B119" s="3">
        <v>45689</v>
      </c>
      <c r="C119" s="1" t="s">
        <v>27</v>
      </c>
      <c r="D119" s="1" t="s">
        <v>16</v>
      </c>
      <c r="E119" s="1">
        <v>57360.01</v>
      </c>
      <c r="F119" s="1">
        <v>8434</v>
      </c>
      <c r="G119" s="1">
        <v>0.151</v>
      </c>
      <c r="H119" s="1">
        <v>19</v>
      </c>
      <c r="I119" s="1">
        <v>84.1</v>
      </c>
      <c r="J119" s="1">
        <v>1.56</v>
      </c>
      <c r="K119" s="1">
        <v>0</v>
      </c>
      <c r="L119" s="1">
        <v>4.7</v>
      </c>
      <c r="M119" s="1">
        <v>820519.04</v>
      </c>
      <c r="N119" s="1">
        <v>99035.88</v>
      </c>
    </row>
    <row r="120" spans="1:14">
      <c r="A120" s="1" t="s">
        <v>51</v>
      </c>
      <c r="B120" s="3">
        <v>45717</v>
      </c>
      <c r="C120" s="1" t="s">
        <v>27</v>
      </c>
      <c r="D120" s="1" t="s">
        <v>16</v>
      </c>
      <c r="E120" s="1">
        <v>42415.47</v>
      </c>
      <c r="F120" s="1">
        <v>8512</v>
      </c>
      <c r="G120" s="1">
        <v>0.13300000000000001</v>
      </c>
      <c r="H120" s="1">
        <v>18</v>
      </c>
      <c r="I120" s="1">
        <v>96.8</v>
      </c>
      <c r="J120" s="1">
        <v>14.95</v>
      </c>
      <c r="K120" s="1">
        <v>0</v>
      </c>
      <c r="L120" s="1">
        <v>4.5999999999999996</v>
      </c>
      <c r="M120" s="1">
        <v>684217.32</v>
      </c>
      <c r="N120" s="1">
        <v>136217.19</v>
      </c>
    </row>
    <row r="121" spans="1:14">
      <c r="A121" s="1" t="s">
        <v>51</v>
      </c>
      <c r="B121" s="3">
        <v>45748</v>
      </c>
      <c r="C121" s="1" t="s">
        <v>27</v>
      </c>
      <c r="D121" s="1" t="s">
        <v>16</v>
      </c>
      <c r="E121" s="1">
        <v>54968.98</v>
      </c>
      <c r="F121" s="1">
        <v>7816</v>
      </c>
      <c r="G121" s="1">
        <v>0.23200000000000001</v>
      </c>
      <c r="H121" s="1">
        <v>19</v>
      </c>
      <c r="I121" s="1">
        <v>95.7</v>
      </c>
      <c r="J121" s="1">
        <v>7.85</v>
      </c>
      <c r="K121" s="1">
        <v>0</v>
      </c>
      <c r="L121" s="1">
        <v>4.7</v>
      </c>
      <c r="M121" s="1">
        <v>735480.19</v>
      </c>
      <c r="N121" s="1">
        <v>88342.11</v>
      </c>
    </row>
    <row r="122" spans="1:14">
      <c r="A122" s="1" t="s">
        <v>52</v>
      </c>
      <c r="B122" s="3">
        <v>45658</v>
      </c>
      <c r="C122" s="1" t="s">
        <v>20</v>
      </c>
      <c r="D122" s="1" t="s">
        <v>18</v>
      </c>
      <c r="E122" s="1">
        <v>43896.13</v>
      </c>
      <c r="F122" s="1">
        <v>3853</v>
      </c>
      <c r="G122" s="1">
        <v>8.7999999999999995E-2</v>
      </c>
      <c r="H122" s="1">
        <v>13</v>
      </c>
      <c r="I122" s="1">
        <v>83</v>
      </c>
      <c r="J122" s="1">
        <v>6.8</v>
      </c>
      <c r="K122" s="1">
        <v>0</v>
      </c>
      <c r="L122" s="1">
        <v>4.4000000000000004</v>
      </c>
      <c r="M122" s="1">
        <v>509484.81</v>
      </c>
      <c r="N122" s="1">
        <v>85742.36</v>
      </c>
    </row>
    <row r="123" spans="1:14">
      <c r="A123" s="1" t="s">
        <v>52</v>
      </c>
      <c r="B123" s="3">
        <v>45689</v>
      </c>
      <c r="C123" s="1" t="s">
        <v>20</v>
      </c>
      <c r="D123" s="1" t="s">
        <v>18</v>
      </c>
      <c r="E123" s="1">
        <v>83044.17</v>
      </c>
      <c r="F123" s="1">
        <v>3694</v>
      </c>
      <c r="G123" s="1">
        <v>0</v>
      </c>
      <c r="H123" s="1">
        <v>14</v>
      </c>
      <c r="I123" s="1">
        <v>89.4</v>
      </c>
      <c r="J123" s="1">
        <v>2.2000000000000002</v>
      </c>
      <c r="K123" s="1">
        <v>0</v>
      </c>
      <c r="L123" s="1">
        <v>3.7</v>
      </c>
      <c r="M123" s="1">
        <v>654317.09</v>
      </c>
      <c r="N123" s="1">
        <v>121446.89</v>
      </c>
    </row>
    <row r="124" spans="1:14">
      <c r="A124" s="1" t="s">
        <v>52</v>
      </c>
      <c r="B124" s="3">
        <v>45717</v>
      </c>
      <c r="C124" s="1" t="s">
        <v>20</v>
      </c>
      <c r="D124" s="1" t="s">
        <v>18</v>
      </c>
      <c r="E124" s="1">
        <v>48396.13</v>
      </c>
      <c r="F124" s="1">
        <v>4423</v>
      </c>
      <c r="G124" s="1">
        <v>6.9000000000000006E-2</v>
      </c>
      <c r="H124" s="1">
        <v>15</v>
      </c>
      <c r="I124" s="1">
        <v>85.7</v>
      </c>
      <c r="J124" s="1">
        <v>1.88</v>
      </c>
      <c r="K124" s="1">
        <v>0</v>
      </c>
      <c r="L124" s="1">
        <v>3.9</v>
      </c>
      <c r="M124" s="1">
        <v>557487.26</v>
      </c>
      <c r="N124" s="1">
        <v>76432.19</v>
      </c>
    </row>
    <row r="125" spans="1:14">
      <c r="A125" s="1" t="s">
        <v>52</v>
      </c>
      <c r="B125" s="3">
        <v>45748</v>
      </c>
      <c r="C125" s="1" t="s">
        <v>20</v>
      </c>
      <c r="D125" s="1" t="s">
        <v>18</v>
      </c>
      <c r="E125" s="1">
        <v>19063.48</v>
      </c>
      <c r="F125" s="1">
        <v>1906</v>
      </c>
      <c r="G125" s="1">
        <v>0.216</v>
      </c>
      <c r="H125" s="1">
        <v>10</v>
      </c>
      <c r="I125" s="1">
        <v>97.8</v>
      </c>
      <c r="J125" s="1">
        <v>15.79</v>
      </c>
      <c r="K125" s="1">
        <v>0</v>
      </c>
      <c r="L125" s="1">
        <v>4.4000000000000004</v>
      </c>
      <c r="M125" s="1">
        <v>441275.42</v>
      </c>
      <c r="N125" s="1">
        <v>58234.87</v>
      </c>
    </row>
    <row r="126" spans="1:14">
      <c r="A126" s="1" t="s">
        <v>53</v>
      </c>
      <c r="B126" s="3">
        <v>45658</v>
      </c>
      <c r="C126" s="1" t="s">
        <v>24</v>
      </c>
      <c r="D126" s="1" t="s">
        <v>18</v>
      </c>
      <c r="E126" s="1">
        <v>61541.21</v>
      </c>
      <c r="F126" s="1">
        <v>10396</v>
      </c>
      <c r="G126" s="1">
        <v>0.123</v>
      </c>
      <c r="H126" s="1">
        <v>25</v>
      </c>
      <c r="I126" s="1">
        <v>88.1</v>
      </c>
      <c r="J126" s="1">
        <v>2.34</v>
      </c>
      <c r="K126" s="1">
        <v>1</v>
      </c>
      <c r="L126" s="1">
        <v>4.8</v>
      </c>
      <c r="M126" s="1">
        <v>914544.17</v>
      </c>
      <c r="N126" s="1">
        <v>79831.73</v>
      </c>
    </row>
    <row r="127" spans="1:14">
      <c r="A127" s="1" t="s">
        <v>53</v>
      </c>
      <c r="B127" s="3">
        <v>45689</v>
      </c>
      <c r="C127" s="1" t="s">
        <v>24</v>
      </c>
      <c r="D127" s="1" t="s">
        <v>18</v>
      </c>
      <c r="E127" s="1">
        <v>44747</v>
      </c>
      <c r="F127" s="1">
        <v>11076</v>
      </c>
      <c r="G127" s="1">
        <v>0.17599999999999999</v>
      </c>
      <c r="H127" s="1">
        <v>27</v>
      </c>
      <c r="I127" s="1">
        <v>98.3</v>
      </c>
      <c r="J127" s="1">
        <v>0.54</v>
      </c>
      <c r="K127" s="1">
        <v>0</v>
      </c>
      <c r="L127" s="1">
        <v>4.4000000000000004</v>
      </c>
      <c r="M127" s="1">
        <v>842439.67</v>
      </c>
      <c r="N127" s="1">
        <v>169983.63</v>
      </c>
    </row>
    <row r="128" spans="1:14">
      <c r="A128" s="1" t="s">
        <v>53</v>
      </c>
      <c r="B128" s="3">
        <v>45717</v>
      </c>
      <c r="C128" s="1" t="s">
        <v>24</v>
      </c>
      <c r="D128" s="1" t="s">
        <v>18</v>
      </c>
      <c r="E128" s="1">
        <v>56517.9</v>
      </c>
      <c r="F128" s="1">
        <v>9574</v>
      </c>
      <c r="G128" s="1">
        <v>0.20399999999999999</v>
      </c>
      <c r="H128" s="1">
        <v>20</v>
      </c>
      <c r="I128" s="1">
        <v>88.2</v>
      </c>
      <c r="J128" s="1">
        <v>5.37</v>
      </c>
      <c r="K128" s="1">
        <v>1</v>
      </c>
      <c r="L128" s="1">
        <v>4.9000000000000004</v>
      </c>
      <c r="M128" s="1">
        <v>842157.92</v>
      </c>
      <c r="N128" s="1">
        <v>107348.22</v>
      </c>
    </row>
    <row r="129" spans="1:14">
      <c r="A129" s="1" t="s">
        <v>53</v>
      </c>
      <c r="B129" s="3">
        <v>45748</v>
      </c>
      <c r="C129" s="1" t="s">
        <v>24</v>
      </c>
      <c r="D129" s="1" t="s">
        <v>18</v>
      </c>
      <c r="E129" s="1">
        <v>37828.5</v>
      </c>
      <c r="F129" s="1">
        <v>8221</v>
      </c>
      <c r="G129" s="1">
        <v>9.6000000000000002E-2</v>
      </c>
      <c r="H129" s="1">
        <v>19</v>
      </c>
      <c r="I129" s="1">
        <v>81.5</v>
      </c>
      <c r="J129" s="1">
        <v>3.19</v>
      </c>
      <c r="K129" s="1">
        <v>0</v>
      </c>
      <c r="L129" s="1">
        <v>4.8</v>
      </c>
      <c r="M129" s="1">
        <v>697155.3</v>
      </c>
      <c r="N129" s="1">
        <v>136408.54</v>
      </c>
    </row>
    <row r="130" spans="1:14">
      <c r="A130" s="1" t="s">
        <v>54</v>
      </c>
      <c r="B130" s="3">
        <v>45658</v>
      </c>
      <c r="C130" s="1" t="s">
        <v>15</v>
      </c>
      <c r="D130" s="1" t="s">
        <v>18</v>
      </c>
      <c r="E130" s="1">
        <v>66250.53</v>
      </c>
      <c r="F130" s="1">
        <v>10618</v>
      </c>
      <c r="G130" s="1">
        <v>0.14199999999999999</v>
      </c>
      <c r="H130" s="1">
        <v>27</v>
      </c>
      <c r="I130" s="1">
        <v>88.3</v>
      </c>
      <c r="J130" s="1">
        <v>1.1000000000000001</v>
      </c>
      <c r="K130" s="1">
        <v>1</v>
      </c>
      <c r="L130" s="1">
        <v>4.4000000000000004</v>
      </c>
      <c r="M130" s="1">
        <v>849018.3</v>
      </c>
      <c r="N130" s="1">
        <v>149035.13</v>
      </c>
    </row>
    <row r="131" spans="1:14">
      <c r="A131" s="1" t="s">
        <v>54</v>
      </c>
      <c r="B131" s="3">
        <v>45689</v>
      </c>
      <c r="C131" s="1" t="s">
        <v>15</v>
      </c>
      <c r="D131" s="1" t="s">
        <v>18</v>
      </c>
      <c r="E131" s="1">
        <v>68410.929999999993</v>
      </c>
      <c r="F131" s="1">
        <v>10596</v>
      </c>
      <c r="G131" s="1">
        <v>0.20699999999999999</v>
      </c>
      <c r="H131" s="1">
        <v>25</v>
      </c>
      <c r="I131" s="1">
        <v>81.2</v>
      </c>
      <c r="J131" s="1">
        <v>0.21</v>
      </c>
      <c r="K131" s="1">
        <v>0</v>
      </c>
      <c r="L131" s="1">
        <v>4</v>
      </c>
      <c r="M131" s="1">
        <v>801830.35</v>
      </c>
      <c r="N131" s="1">
        <v>114875.32</v>
      </c>
    </row>
    <row r="132" spans="1:14">
      <c r="A132" s="1" t="s">
        <v>54</v>
      </c>
      <c r="B132" s="3">
        <v>45717</v>
      </c>
      <c r="C132" s="1" t="s">
        <v>15</v>
      </c>
      <c r="D132" s="1" t="s">
        <v>18</v>
      </c>
      <c r="E132" s="1">
        <v>50735.63</v>
      </c>
      <c r="F132" s="1">
        <v>9619</v>
      </c>
      <c r="G132" s="1">
        <v>0.14399999999999999</v>
      </c>
      <c r="H132" s="1">
        <v>19</v>
      </c>
      <c r="I132" s="1">
        <v>93.8</v>
      </c>
      <c r="J132" s="1">
        <v>5.12</v>
      </c>
      <c r="K132" s="1">
        <v>1</v>
      </c>
      <c r="L132" s="1">
        <v>4.5</v>
      </c>
      <c r="M132" s="1">
        <v>725235.28</v>
      </c>
      <c r="N132" s="1">
        <v>121632.24</v>
      </c>
    </row>
    <row r="133" spans="1:14">
      <c r="A133" s="1" t="s">
        <v>54</v>
      </c>
      <c r="B133" s="3">
        <v>45748</v>
      </c>
      <c r="C133" s="1" t="s">
        <v>15</v>
      </c>
      <c r="D133" s="1" t="s">
        <v>18</v>
      </c>
      <c r="E133" s="1">
        <v>66455.8</v>
      </c>
      <c r="F133" s="1">
        <v>10836</v>
      </c>
      <c r="G133" s="1">
        <v>8.8999999999999996E-2</v>
      </c>
      <c r="H133" s="1">
        <v>25</v>
      </c>
      <c r="I133" s="1">
        <v>85</v>
      </c>
      <c r="J133" s="1">
        <v>9.77</v>
      </c>
      <c r="K133" s="1">
        <v>0</v>
      </c>
      <c r="L133" s="1">
        <v>4.5</v>
      </c>
      <c r="M133" s="1">
        <v>811452.72</v>
      </c>
      <c r="N133" s="1">
        <v>131325.67000000001</v>
      </c>
    </row>
    <row r="134" spans="1:14">
      <c r="A134" s="1" t="s">
        <v>55</v>
      </c>
      <c r="B134" s="3">
        <v>45658</v>
      </c>
      <c r="C134" s="1" t="s">
        <v>20</v>
      </c>
      <c r="D134" s="1" t="s">
        <v>18</v>
      </c>
      <c r="E134" s="1">
        <v>70276.28</v>
      </c>
      <c r="F134" s="1">
        <v>3043</v>
      </c>
      <c r="G134" s="1">
        <v>7.9000000000000001E-2</v>
      </c>
      <c r="H134" s="1">
        <v>9</v>
      </c>
      <c r="I134" s="1">
        <v>87.9</v>
      </c>
      <c r="J134" s="1">
        <v>3.77</v>
      </c>
      <c r="K134" s="1">
        <v>0</v>
      </c>
      <c r="L134" s="1">
        <v>4.4000000000000004</v>
      </c>
      <c r="M134" s="1">
        <v>527300.13</v>
      </c>
      <c r="N134" s="1">
        <v>84197.87</v>
      </c>
    </row>
    <row r="135" spans="1:14">
      <c r="A135" s="1" t="s">
        <v>55</v>
      </c>
      <c r="B135" s="3">
        <v>45689</v>
      </c>
      <c r="C135" s="1" t="s">
        <v>20</v>
      </c>
      <c r="D135" s="1" t="s">
        <v>18</v>
      </c>
      <c r="E135" s="1">
        <v>22071.64</v>
      </c>
      <c r="F135" s="1">
        <v>1814</v>
      </c>
      <c r="G135" s="1">
        <v>0.19600000000000001</v>
      </c>
      <c r="H135" s="1">
        <v>8</v>
      </c>
      <c r="I135" s="1">
        <v>81.099999999999994</v>
      </c>
      <c r="J135" s="1">
        <v>0.78</v>
      </c>
      <c r="K135" s="1">
        <v>0</v>
      </c>
      <c r="L135" s="1"/>
      <c r="M135" s="1">
        <v>400831.65</v>
      </c>
      <c r="N135" s="1">
        <v>70979.31</v>
      </c>
    </row>
    <row r="136" spans="1:14">
      <c r="A136" s="1" t="s">
        <v>55</v>
      </c>
      <c r="B136" s="3">
        <v>45717</v>
      </c>
      <c r="C136" s="1" t="s">
        <v>20</v>
      </c>
      <c r="D136" s="1" t="s">
        <v>18</v>
      </c>
      <c r="E136" s="1">
        <v>52285.45</v>
      </c>
      <c r="F136" s="1">
        <v>3618</v>
      </c>
      <c r="G136" s="1">
        <v>8.5999999999999993E-2</v>
      </c>
      <c r="H136" s="1">
        <v>11</v>
      </c>
      <c r="I136" s="1">
        <v>95.6</v>
      </c>
      <c r="J136" s="1">
        <v>5.17</v>
      </c>
      <c r="K136" s="1">
        <v>1</v>
      </c>
      <c r="L136" s="1">
        <v>4.4000000000000004</v>
      </c>
      <c r="M136" s="1">
        <v>593247.25</v>
      </c>
      <c r="N136" s="1">
        <v>81240.289999999994</v>
      </c>
    </row>
    <row r="137" spans="1:14">
      <c r="A137" s="1" t="s">
        <v>55</v>
      </c>
      <c r="B137" s="3">
        <v>45748</v>
      </c>
      <c r="C137" s="1" t="s">
        <v>20</v>
      </c>
      <c r="D137" s="1" t="s">
        <v>18</v>
      </c>
      <c r="E137" s="1">
        <v>70366.759999999995</v>
      </c>
      <c r="F137" s="1">
        <v>1963</v>
      </c>
      <c r="G137" s="1">
        <v>0.182</v>
      </c>
      <c r="H137" s="1">
        <v>8</v>
      </c>
      <c r="I137" s="1">
        <v>89.8</v>
      </c>
      <c r="J137" s="1">
        <v>3.2</v>
      </c>
      <c r="K137" s="1">
        <v>0</v>
      </c>
      <c r="L137" s="1">
        <v>4.5999999999999996</v>
      </c>
      <c r="M137" s="1">
        <v>529075.94999999995</v>
      </c>
      <c r="N137" s="1">
        <v>95978.83</v>
      </c>
    </row>
    <row r="138" spans="1:14">
      <c r="A138" s="1" t="s">
        <v>56</v>
      </c>
      <c r="B138" s="3">
        <v>45658</v>
      </c>
      <c r="C138" s="1" t="s">
        <v>24</v>
      </c>
      <c r="D138" s="1" t="s">
        <v>16</v>
      </c>
      <c r="E138" s="1">
        <v>71320.66</v>
      </c>
      <c r="F138" s="1">
        <v>7888</v>
      </c>
      <c r="G138" s="1">
        <v>4.8000000000000001E-2</v>
      </c>
      <c r="H138" s="1">
        <v>20</v>
      </c>
      <c r="I138" s="1">
        <v>78.099999999999994</v>
      </c>
      <c r="J138" s="1">
        <v>3.4</v>
      </c>
      <c r="K138" s="1">
        <v>0</v>
      </c>
      <c r="L138" s="1"/>
      <c r="M138" s="1">
        <v>633638.03</v>
      </c>
      <c r="N138" s="1">
        <v>99402.01</v>
      </c>
    </row>
    <row r="139" spans="1:14">
      <c r="A139" s="1" t="s">
        <v>56</v>
      </c>
      <c r="B139" s="3">
        <v>45689</v>
      </c>
      <c r="C139" s="1" t="s">
        <v>24</v>
      </c>
      <c r="D139" s="1" t="s">
        <v>16</v>
      </c>
      <c r="E139" s="1">
        <v>75109.67</v>
      </c>
      <c r="F139" s="1">
        <v>6244</v>
      </c>
      <c r="G139" s="1">
        <v>7.9000000000000001E-2</v>
      </c>
      <c r="H139" s="1">
        <v>15</v>
      </c>
      <c r="I139" s="1">
        <v>96.3</v>
      </c>
      <c r="J139" s="1">
        <v>7.38</v>
      </c>
      <c r="K139" s="1">
        <v>0</v>
      </c>
      <c r="L139" s="1">
        <v>3.7</v>
      </c>
      <c r="M139" s="1">
        <v>743348.84</v>
      </c>
      <c r="N139" s="1">
        <v>104186.09</v>
      </c>
    </row>
    <row r="140" spans="1:14">
      <c r="A140" s="1" t="s">
        <v>56</v>
      </c>
      <c r="B140" s="3">
        <v>45717</v>
      </c>
      <c r="C140" s="1" t="s">
        <v>24</v>
      </c>
      <c r="D140" s="1" t="s">
        <v>16</v>
      </c>
      <c r="E140" s="1">
        <v>69779</v>
      </c>
      <c r="F140" s="1">
        <v>6544</v>
      </c>
      <c r="G140" s="1">
        <v>0.152</v>
      </c>
      <c r="H140" s="1">
        <v>18</v>
      </c>
      <c r="I140" s="1">
        <v>90.2</v>
      </c>
      <c r="J140" s="1">
        <v>0.85</v>
      </c>
      <c r="K140" s="1">
        <v>1</v>
      </c>
      <c r="L140" s="1">
        <v>3.3</v>
      </c>
      <c r="M140" s="1">
        <v>758827.64</v>
      </c>
      <c r="N140" s="1">
        <v>161439.48000000001</v>
      </c>
    </row>
    <row r="141" spans="1:14">
      <c r="A141" s="1" t="s">
        <v>56</v>
      </c>
      <c r="B141" s="3">
        <v>45748</v>
      </c>
      <c r="C141" s="1" t="s">
        <v>24</v>
      </c>
      <c r="D141" s="1" t="s">
        <v>16</v>
      </c>
      <c r="E141" s="1">
        <v>44211.95</v>
      </c>
      <c r="F141" s="1">
        <v>5465</v>
      </c>
      <c r="G141" s="1">
        <v>0.187</v>
      </c>
      <c r="H141" s="1">
        <v>12</v>
      </c>
      <c r="I141" s="1">
        <v>90</v>
      </c>
      <c r="J141" s="1">
        <v>2.89</v>
      </c>
      <c r="K141" s="1">
        <v>0</v>
      </c>
      <c r="L141" s="1">
        <v>3.6</v>
      </c>
      <c r="M141" s="1">
        <v>646559.71</v>
      </c>
      <c r="N141" s="1">
        <v>97981.75</v>
      </c>
    </row>
    <row r="142" spans="1:14">
      <c r="A142" s="1" t="s">
        <v>57</v>
      </c>
      <c r="B142" s="3">
        <v>45658</v>
      </c>
      <c r="C142" s="1" t="s">
        <v>27</v>
      </c>
      <c r="D142" s="1" t="s">
        <v>18</v>
      </c>
      <c r="E142" s="1">
        <v>51430.31</v>
      </c>
      <c r="F142" s="1">
        <v>6427</v>
      </c>
      <c r="G142" s="1">
        <v>0.23400000000000001</v>
      </c>
      <c r="H142" s="1">
        <v>14</v>
      </c>
      <c r="I142" s="1">
        <v>88.8</v>
      </c>
      <c r="J142" s="1">
        <v>0.77</v>
      </c>
      <c r="K142" s="1">
        <v>0</v>
      </c>
      <c r="L142" s="1">
        <v>4.0999999999999996</v>
      </c>
      <c r="M142" s="1">
        <v>715890.53</v>
      </c>
      <c r="N142" s="1">
        <v>109032.15</v>
      </c>
    </row>
    <row r="143" spans="1:14">
      <c r="A143" s="1" t="s">
        <v>57</v>
      </c>
      <c r="B143" s="3">
        <v>45689</v>
      </c>
      <c r="C143" s="1" t="s">
        <v>27</v>
      </c>
      <c r="D143" s="1" t="s">
        <v>18</v>
      </c>
      <c r="E143" s="1">
        <v>45706.49</v>
      </c>
      <c r="F143" s="1">
        <v>6704</v>
      </c>
      <c r="G143" s="1">
        <v>3.7999999999999999E-2</v>
      </c>
      <c r="H143" s="1">
        <v>15</v>
      </c>
      <c r="I143" s="1">
        <v>94.2</v>
      </c>
      <c r="J143" s="1">
        <v>2.92</v>
      </c>
      <c r="K143" s="1">
        <v>0</v>
      </c>
      <c r="L143" s="1">
        <v>4.2</v>
      </c>
      <c r="M143" s="1">
        <v>715097.57</v>
      </c>
      <c r="N143" s="1">
        <v>151875.85999999999</v>
      </c>
    </row>
    <row r="144" spans="1:14">
      <c r="A144" s="1" t="s">
        <v>57</v>
      </c>
      <c r="B144" s="3">
        <v>45717</v>
      </c>
      <c r="C144" s="1" t="s">
        <v>27</v>
      </c>
      <c r="D144" s="1" t="s">
        <v>18</v>
      </c>
      <c r="E144" s="1">
        <v>44034.6</v>
      </c>
      <c r="F144" s="1">
        <v>5645</v>
      </c>
      <c r="G144" s="1">
        <v>6.9000000000000006E-2</v>
      </c>
      <c r="H144" s="1">
        <v>18</v>
      </c>
      <c r="I144" s="1">
        <v>88.5</v>
      </c>
      <c r="J144" s="1">
        <v>3.07</v>
      </c>
      <c r="K144" s="1">
        <v>0</v>
      </c>
      <c r="L144" s="1">
        <v>3.8</v>
      </c>
      <c r="M144" s="1">
        <v>682639.28</v>
      </c>
      <c r="N144" s="1">
        <v>77557.53</v>
      </c>
    </row>
    <row r="145" spans="1:14">
      <c r="A145" s="1" t="s">
        <v>57</v>
      </c>
      <c r="B145" s="3">
        <v>45748</v>
      </c>
      <c r="C145" s="1" t="s">
        <v>27</v>
      </c>
      <c r="D145" s="1" t="s">
        <v>18</v>
      </c>
      <c r="E145" s="1">
        <v>50198.12</v>
      </c>
      <c r="F145" s="1">
        <v>6089</v>
      </c>
      <c r="G145" s="1">
        <v>0.182</v>
      </c>
      <c r="H145" s="1">
        <v>19</v>
      </c>
      <c r="I145" s="1">
        <v>94</v>
      </c>
      <c r="J145" s="1">
        <v>9.6999999999999993</v>
      </c>
      <c r="K145" s="1">
        <v>0</v>
      </c>
      <c r="L145" s="1">
        <v>3.9</v>
      </c>
      <c r="M145" s="1">
        <v>695098.51</v>
      </c>
      <c r="N145" s="1">
        <v>108192.75</v>
      </c>
    </row>
    <row r="146" spans="1:14">
      <c r="A146" s="1" t="s">
        <v>58</v>
      </c>
      <c r="B146" s="3">
        <v>45658</v>
      </c>
      <c r="C146" s="1" t="s">
        <v>20</v>
      </c>
      <c r="D146" s="1" t="s">
        <v>16</v>
      </c>
      <c r="E146" s="1">
        <v>70488.2</v>
      </c>
      <c r="F146" s="1">
        <v>4312</v>
      </c>
      <c r="G146" s="1">
        <v>0.16900000000000001</v>
      </c>
      <c r="H146" s="1">
        <v>12</v>
      </c>
      <c r="I146" s="1">
        <v>90.2</v>
      </c>
      <c r="J146" s="1">
        <v>3.71</v>
      </c>
      <c r="K146" s="1">
        <v>0</v>
      </c>
      <c r="L146" s="1">
        <v>3.2</v>
      </c>
      <c r="M146" s="1">
        <v>577732.56999999995</v>
      </c>
      <c r="N146" s="1">
        <v>93804.27</v>
      </c>
    </row>
    <row r="147" spans="1:14">
      <c r="A147" s="1" t="s">
        <v>58</v>
      </c>
      <c r="B147" s="3">
        <v>45689</v>
      </c>
      <c r="C147" s="1" t="s">
        <v>20</v>
      </c>
      <c r="D147" s="1" t="s">
        <v>16</v>
      </c>
      <c r="E147" s="1">
        <v>50909.27</v>
      </c>
      <c r="F147" s="1">
        <v>3152</v>
      </c>
      <c r="G147" s="1">
        <v>0.06</v>
      </c>
      <c r="H147" s="1">
        <v>13</v>
      </c>
      <c r="I147" s="1">
        <v>93.7</v>
      </c>
      <c r="J147" s="1">
        <v>10.79</v>
      </c>
      <c r="K147" s="1">
        <v>0</v>
      </c>
      <c r="L147" s="1">
        <v>3.5</v>
      </c>
      <c r="M147" s="1">
        <v>537058.32999999996</v>
      </c>
      <c r="N147" s="1">
        <v>93555.71</v>
      </c>
    </row>
    <row r="148" spans="1:14">
      <c r="A148" s="1" t="s">
        <v>58</v>
      </c>
      <c r="B148" s="3">
        <v>45717</v>
      </c>
      <c r="C148" s="1" t="s">
        <v>20</v>
      </c>
      <c r="D148" s="1" t="s">
        <v>16</v>
      </c>
      <c r="E148" s="1">
        <v>53351.7</v>
      </c>
      <c r="F148" s="1">
        <v>4259</v>
      </c>
      <c r="G148" s="1">
        <v>0.156</v>
      </c>
      <c r="H148" s="1">
        <v>15</v>
      </c>
      <c r="I148" s="1">
        <v>93.7</v>
      </c>
      <c r="J148" s="1">
        <v>6.03</v>
      </c>
      <c r="K148" s="1">
        <v>0</v>
      </c>
      <c r="L148" s="1">
        <v>3.4</v>
      </c>
      <c r="M148" s="1">
        <v>601568.87</v>
      </c>
      <c r="N148" s="1">
        <v>91634.82</v>
      </c>
    </row>
    <row r="149" spans="1:14">
      <c r="A149" s="1" t="s">
        <v>58</v>
      </c>
      <c r="B149" s="3">
        <v>45748</v>
      </c>
      <c r="C149" s="1" t="s">
        <v>20</v>
      </c>
      <c r="D149" s="1" t="s">
        <v>16</v>
      </c>
      <c r="E149" s="1">
        <v>60322.400000000001</v>
      </c>
      <c r="F149" s="1">
        <v>3350</v>
      </c>
      <c r="G149" s="1">
        <v>0.108</v>
      </c>
      <c r="H149" s="1">
        <v>12</v>
      </c>
      <c r="I149" s="1">
        <v>89.4</v>
      </c>
      <c r="J149" s="1">
        <v>4.92</v>
      </c>
      <c r="K149" s="1">
        <v>0</v>
      </c>
      <c r="L149" s="1">
        <v>3.4</v>
      </c>
      <c r="M149" s="1">
        <v>570964.84</v>
      </c>
      <c r="N149" s="1">
        <v>81331.070000000007</v>
      </c>
    </row>
    <row r="150" spans="1:14">
      <c r="A150" s="1" t="s">
        <v>59</v>
      </c>
      <c r="B150" s="3">
        <v>45658</v>
      </c>
      <c r="C150" s="1" t="s">
        <v>24</v>
      </c>
      <c r="D150" s="1" t="s">
        <v>28</v>
      </c>
      <c r="E150" s="1">
        <v>51575.68</v>
      </c>
      <c r="F150" s="1">
        <v>5329</v>
      </c>
      <c r="G150" s="1">
        <v>4.7E-2</v>
      </c>
      <c r="H150" s="1">
        <v>17</v>
      </c>
      <c r="I150" s="1">
        <v>88.1</v>
      </c>
      <c r="J150" s="1">
        <v>19.78</v>
      </c>
      <c r="K150" s="1">
        <v>0</v>
      </c>
      <c r="L150" s="1">
        <v>3.8</v>
      </c>
      <c r="M150" s="1">
        <v>614024.91</v>
      </c>
      <c r="N150" s="1">
        <v>84828.93</v>
      </c>
    </row>
    <row r="151" spans="1:14">
      <c r="A151" s="1" t="s">
        <v>59</v>
      </c>
      <c r="B151" s="3">
        <v>45689</v>
      </c>
      <c r="C151" s="1" t="s">
        <v>24</v>
      </c>
      <c r="D151" s="1" t="s">
        <v>28</v>
      </c>
      <c r="E151" s="1">
        <v>43319.94</v>
      </c>
      <c r="F151" s="1">
        <v>6551</v>
      </c>
      <c r="G151" s="1">
        <v>4.3999999999999997E-2</v>
      </c>
      <c r="H151" s="1">
        <v>13</v>
      </c>
      <c r="I151" s="1">
        <v>99</v>
      </c>
      <c r="J151" s="1">
        <v>5.45</v>
      </c>
      <c r="K151" s="1">
        <v>0</v>
      </c>
      <c r="L151" s="1">
        <v>4.0999999999999996</v>
      </c>
      <c r="M151" s="1">
        <v>712868.35</v>
      </c>
      <c r="N151" s="1">
        <v>133650.51</v>
      </c>
    </row>
    <row r="152" spans="1:14">
      <c r="A152" s="1" t="s">
        <v>59</v>
      </c>
      <c r="B152" s="3">
        <v>45717</v>
      </c>
      <c r="C152" s="1" t="s">
        <v>24</v>
      </c>
      <c r="D152" s="1" t="s">
        <v>28</v>
      </c>
      <c r="E152" s="1">
        <v>47093.55</v>
      </c>
      <c r="F152" s="1">
        <v>5550</v>
      </c>
      <c r="G152" s="1">
        <v>0.1</v>
      </c>
      <c r="H152" s="1">
        <v>12</v>
      </c>
      <c r="I152" s="1">
        <v>95</v>
      </c>
      <c r="J152" s="1">
        <v>2.33</v>
      </c>
      <c r="K152" s="1">
        <v>1</v>
      </c>
      <c r="L152" s="1">
        <v>3.7</v>
      </c>
      <c r="M152" s="1">
        <v>696744.15</v>
      </c>
      <c r="N152" s="1">
        <v>152230.09</v>
      </c>
    </row>
    <row r="153" spans="1:14">
      <c r="A153" s="1" t="s">
        <v>59</v>
      </c>
      <c r="B153" s="3">
        <v>45748</v>
      </c>
      <c r="C153" s="1" t="s">
        <v>24</v>
      </c>
      <c r="D153" s="1" t="s">
        <v>28</v>
      </c>
      <c r="E153" s="1">
        <v>71855.09</v>
      </c>
      <c r="F153" s="1">
        <v>5911</v>
      </c>
      <c r="G153" s="1">
        <v>0.19700000000000001</v>
      </c>
      <c r="H153" s="1">
        <v>15</v>
      </c>
      <c r="I153" s="1">
        <v>94.3</v>
      </c>
      <c r="J153" s="1">
        <v>3.55</v>
      </c>
      <c r="K153" s="1">
        <v>0</v>
      </c>
      <c r="L153" s="1">
        <v>4.0999999999999996</v>
      </c>
      <c r="M153" s="1">
        <v>725847.99</v>
      </c>
      <c r="N153" s="1">
        <v>122698.73</v>
      </c>
    </row>
    <row r="154" spans="1:14">
      <c r="A154" s="1" t="s">
        <v>60</v>
      </c>
      <c r="B154" s="3">
        <v>45658</v>
      </c>
      <c r="C154" s="1" t="s">
        <v>15</v>
      </c>
      <c r="D154" s="1" t="s">
        <v>18</v>
      </c>
      <c r="E154" s="1">
        <v>75645.23</v>
      </c>
      <c r="F154" s="1">
        <v>9674</v>
      </c>
      <c r="G154" s="1">
        <v>0.23400000000000001</v>
      </c>
      <c r="H154" s="1">
        <v>21</v>
      </c>
      <c r="I154" s="1">
        <v>87.4</v>
      </c>
      <c r="J154" s="1">
        <v>0.2</v>
      </c>
      <c r="K154" s="1">
        <v>0</v>
      </c>
      <c r="L154" s="1">
        <v>4.5</v>
      </c>
      <c r="M154" s="1">
        <v>785028.25</v>
      </c>
      <c r="N154" s="1">
        <v>110726.44</v>
      </c>
    </row>
    <row r="155" spans="1:14">
      <c r="A155" s="1" t="s">
        <v>60</v>
      </c>
      <c r="B155" s="3">
        <v>45689</v>
      </c>
      <c r="C155" s="1" t="s">
        <v>15</v>
      </c>
      <c r="D155" s="1" t="s">
        <v>18</v>
      </c>
      <c r="E155" s="1">
        <v>64374.75</v>
      </c>
      <c r="F155" s="1">
        <v>6740</v>
      </c>
      <c r="G155" s="1">
        <v>0.16900000000000001</v>
      </c>
      <c r="H155" s="1">
        <v>18</v>
      </c>
      <c r="I155" s="1">
        <v>87</v>
      </c>
      <c r="J155" s="1">
        <v>2.09</v>
      </c>
      <c r="K155" s="1">
        <v>0</v>
      </c>
      <c r="L155" s="1">
        <v>4.2</v>
      </c>
      <c r="M155" s="1">
        <v>698492.67</v>
      </c>
      <c r="N155" s="1">
        <v>117319.32</v>
      </c>
    </row>
    <row r="156" spans="1:14">
      <c r="A156" s="1" t="s">
        <v>60</v>
      </c>
      <c r="B156" s="3">
        <v>45717</v>
      </c>
      <c r="C156" s="1" t="s">
        <v>15</v>
      </c>
      <c r="D156" s="1" t="s">
        <v>18</v>
      </c>
      <c r="E156" s="1">
        <v>61433.84</v>
      </c>
      <c r="F156" s="1">
        <v>7745</v>
      </c>
      <c r="G156" s="1">
        <v>0.18</v>
      </c>
      <c r="H156" s="1">
        <v>16</v>
      </c>
      <c r="I156" s="1">
        <v>90.5</v>
      </c>
      <c r="J156" s="1">
        <v>2.2599999999999998</v>
      </c>
      <c r="K156" s="1">
        <v>0</v>
      </c>
      <c r="L156" s="1">
        <v>4.2</v>
      </c>
      <c r="M156" s="1">
        <v>685830.24</v>
      </c>
      <c r="N156" s="1">
        <v>128736.18</v>
      </c>
    </row>
    <row r="157" spans="1:14">
      <c r="A157" s="1" t="s">
        <v>60</v>
      </c>
      <c r="B157" s="3">
        <v>45748</v>
      </c>
      <c r="C157" s="1" t="s">
        <v>15</v>
      </c>
      <c r="D157" s="1" t="s">
        <v>18</v>
      </c>
      <c r="E157" s="1">
        <v>42698.14</v>
      </c>
      <c r="F157" s="1">
        <v>7693</v>
      </c>
      <c r="G157" s="1">
        <v>0.187</v>
      </c>
      <c r="H157" s="1">
        <v>19</v>
      </c>
      <c r="I157" s="1">
        <v>90.1</v>
      </c>
      <c r="J157" s="1">
        <v>0.44</v>
      </c>
      <c r="K157" s="1">
        <v>0</v>
      </c>
      <c r="L157" s="1">
        <v>4.4000000000000004</v>
      </c>
      <c r="M157" s="1">
        <v>702318.94</v>
      </c>
      <c r="N157" s="1">
        <v>112829.29</v>
      </c>
    </row>
    <row r="158" spans="1:14">
      <c r="A158" s="1" t="s">
        <v>61</v>
      </c>
      <c r="B158" s="3">
        <v>45658</v>
      </c>
      <c r="C158" s="1" t="s">
        <v>20</v>
      </c>
      <c r="D158" s="1" t="s">
        <v>28</v>
      </c>
      <c r="E158" s="1">
        <v>86883.31</v>
      </c>
      <c r="F158" s="1">
        <v>6424</v>
      </c>
      <c r="G158" s="1">
        <v>5.7000000000000002E-2</v>
      </c>
      <c r="H158" s="1">
        <v>19</v>
      </c>
      <c r="I158" s="1">
        <v>85.2</v>
      </c>
      <c r="J158" s="1">
        <v>3.08</v>
      </c>
      <c r="K158" s="1">
        <v>0</v>
      </c>
      <c r="L158" s="1">
        <v>3.9</v>
      </c>
      <c r="M158" s="1">
        <v>700078.32</v>
      </c>
      <c r="N158" s="1">
        <v>123707.58</v>
      </c>
    </row>
    <row r="159" spans="1:14">
      <c r="A159" s="1" t="s">
        <v>61</v>
      </c>
      <c r="B159" s="3">
        <v>45689</v>
      </c>
      <c r="C159" s="1" t="s">
        <v>20</v>
      </c>
      <c r="D159" s="1" t="s">
        <v>28</v>
      </c>
      <c r="E159" s="1">
        <v>41863.08</v>
      </c>
      <c r="F159" s="1">
        <v>5400</v>
      </c>
      <c r="G159" s="1">
        <v>0.114</v>
      </c>
      <c r="H159" s="1">
        <v>11</v>
      </c>
      <c r="I159" s="1">
        <v>91.6</v>
      </c>
      <c r="J159" s="1">
        <v>7.99</v>
      </c>
      <c r="K159" s="1">
        <v>0</v>
      </c>
      <c r="L159" s="1">
        <v>3</v>
      </c>
      <c r="M159" s="1">
        <v>602002.31999999995</v>
      </c>
      <c r="N159" s="1">
        <v>110453.28</v>
      </c>
    </row>
    <row r="160" spans="1:14">
      <c r="A160" s="1" t="s">
        <v>61</v>
      </c>
      <c r="B160" s="3">
        <v>45717</v>
      </c>
      <c r="C160" s="1" t="s">
        <v>20</v>
      </c>
      <c r="D160" s="1" t="s">
        <v>28</v>
      </c>
      <c r="E160" s="1">
        <v>56918.16</v>
      </c>
      <c r="F160" s="1">
        <v>7015</v>
      </c>
      <c r="G160" s="1">
        <v>0.158</v>
      </c>
      <c r="H160" s="1">
        <v>18</v>
      </c>
      <c r="I160" s="1">
        <v>74.2</v>
      </c>
      <c r="J160" s="1">
        <v>0.2</v>
      </c>
      <c r="K160" s="1">
        <v>0</v>
      </c>
      <c r="L160" s="1">
        <v>3.4</v>
      </c>
      <c r="M160" s="1">
        <v>724216.07</v>
      </c>
      <c r="N160" s="1">
        <v>100627.56</v>
      </c>
    </row>
    <row r="161" spans="1:14">
      <c r="A161" s="1" t="s">
        <v>61</v>
      </c>
      <c r="B161" s="3">
        <v>45748</v>
      </c>
      <c r="C161" s="1" t="s">
        <v>20</v>
      </c>
      <c r="D161" s="1" t="s">
        <v>28</v>
      </c>
      <c r="E161" s="1">
        <v>23254.57</v>
      </c>
      <c r="F161" s="1">
        <v>3847</v>
      </c>
      <c r="G161" s="1">
        <v>0.159</v>
      </c>
      <c r="H161" s="1">
        <v>12</v>
      </c>
      <c r="I161" s="1">
        <v>93</v>
      </c>
      <c r="J161" s="1">
        <v>5.46</v>
      </c>
      <c r="K161" s="1">
        <v>0</v>
      </c>
      <c r="L161" s="1">
        <v>3.3</v>
      </c>
      <c r="M161" s="1">
        <v>620973.03</v>
      </c>
      <c r="N161" s="1">
        <v>72303.850000000006</v>
      </c>
    </row>
    <row r="162" spans="1:14">
      <c r="A162" s="1" t="s">
        <v>62</v>
      </c>
      <c r="B162" s="3">
        <v>45658</v>
      </c>
      <c r="C162" s="1" t="s">
        <v>24</v>
      </c>
      <c r="D162" s="1" t="s">
        <v>18</v>
      </c>
      <c r="E162" s="1">
        <v>41443.410000000003</v>
      </c>
      <c r="F162" s="1">
        <v>7455</v>
      </c>
      <c r="G162" s="1">
        <v>0.17499999999999999</v>
      </c>
      <c r="H162" s="1">
        <v>16</v>
      </c>
      <c r="I162" s="1">
        <v>90.1</v>
      </c>
      <c r="J162" s="1">
        <v>4.05</v>
      </c>
      <c r="K162" s="1">
        <v>0</v>
      </c>
      <c r="L162" s="1">
        <v>4</v>
      </c>
      <c r="M162" s="1">
        <v>650480.06000000006</v>
      </c>
      <c r="N162" s="1">
        <v>109012.07</v>
      </c>
    </row>
    <row r="163" spans="1:14">
      <c r="A163" s="1" t="s">
        <v>62</v>
      </c>
      <c r="B163" s="3">
        <v>45689</v>
      </c>
      <c r="C163" s="1" t="s">
        <v>24</v>
      </c>
      <c r="D163" s="1" t="s">
        <v>18</v>
      </c>
      <c r="E163" s="1">
        <v>48438.85</v>
      </c>
      <c r="F163" s="1">
        <v>6992</v>
      </c>
      <c r="G163" s="1">
        <v>3.4000000000000002E-2</v>
      </c>
      <c r="H163" s="1">
        <v>20</v>
      </c>
      <c r="I163" s="1">
        <v>91</v>
      </c>
      <c r="J163" s="1">
        <v>4.3600000000000003</v>
      </c>
      <c r="K163" s="1">
        <v>0</v>
      </c>
      <c r="L163" s="1">
        <v>4.2</v>
      </c>
      <c r="M163" s="1">
        <v>778298.88</v>
      </c>
      <c r="N163" s="1">
        <v>130076.72</v>
      </c>
    </row>
    <row r="164" spans="1:14">
      <c r="A164" s="1" t="s">
        <v>62</v>
      </c>
      <c r="B164" s="3">
        <v>45717</v>
      </c>
      <c r="C164" s="1" t="s">
        <v>24</v>
      </c>
      <c r="D164" s="1" t="s">
        <v>18</v>
      </c>
      <c r="E164" s="1">
        <v>57143.3</v>
      </c>
      <c r="F164" s="1">
        <v>8038</v>
      </c>
      <c r="G164" s="1">
        <v>0.193</v>
      </c>
      <c r="H164" s="1">
        <v>17</v>
      </c>
      <c r="I164" s="1">
        <v>72.599999999999994</v>
      </c>
      <c r="J164" s="1"/>
      <c r="K164" s="1">
        <v>0</v>
      </c>
      <c r="L164" s="1">
        <v>4.2</v>
      </c>
      <c r="M164" s="1">
        <v>677096.71</v>
      </c>
      <c r="N164" s="1">
        <v>97174.11</v>
      </c>
    </row>
    <row r="165" spans="1:14">
      <c r="A165" s="1" t="s">
        <v>62</v>
      </c>
      <c r="B165" s="3">
        <v>45748</v>
      </c>
      <c r="C165" s="1" t="s">
        <v>24</v>
      </c>
      <c r="D165" s="1" t="s">
        <v>18</v>
      </c>
      <c r="E165" s="1">
        <v>66870.62</v>
      </c>
      <c r="F165" s="1">
        <v>6055</v>
      </c>
      <c r="G165" s="1">
        <v>7.4999999999999997E-2</v>
      </c>
      <c r="H165" s="1">
        <v>19</v>
      </c>
      <c r="I165" s="1">
        <v>93.8</v>
      </c>
      <c r="J165" s="1">
        <v>0.54</v>
      </c>
      <c r="K165" s="1">
        <v>0</v>
      </c>
      <c r="L165" s="1">
        <v>4.3</v>
      </c>
      <c r="M165" s="1">
        <v>692008.64</v>
      </c>
      <c r="N165" s="1">
        <v>116337.87</v>
      </c>
    </row>
    <row r="166" spans="1:14">
      <c r="A166" s="1" t="s">
        <v>63</v>
      </c>
      <c r="B166" s="3">
        <v>45658</v>
      </c>
      <c r="C166" s="1" t="s">
        <v>20</v>
      </c>
      <c r="D166" s="1" t="s">
        <v>28</v>
      </c>
      <c r="E166" s="1">
        <v>72150.53</v>
      </c>
      <c r="F166" s="1">
        <v>9323</v>
      </c>
      <c r="G166" s="1">
        <v>0.157</v>
      </c>
      <c r="H166" s="1">
        <v>22</v>
      </c>
      <c r="I166" s="1">
        <v>82.9</v>
      </c>
      <c r="J166" s="1">
        <v>11.37</v>
      </c>
      <c r="K166" s="1">
        <v>1</v>
      </c>
      <c r="L166" s="1">
        <v>4.3</v>
      </c>
      <c r="M166" s="1">
        <v>825797.91</v>
      </c>
      <c r="N166" s="1">
        <v>130945.24</v>
      </c>
    </row>
    <row r="167" spans="1:14">
      <c r="A167" s="1" t="s">
        <v>63</v>
      </c>
      <c r="B167" s="3">
        <v>45689</v>
      </c>
      <c r="C167" s="1" t="s">
        <v>20</v>
      </c>
      <c r="D167" s="1" t="s">
        <v>28</v>
      </c>
      <c r="E167" s="1">
        <v>35303.300000000003</v>
      </c>
      <c r="F167" s="1">
        <v>8789</v>
      </c>
      <c r="G167" s="1">
        <v>0.123</v>
      </c>
      <c r="H167" s="1">
        <v>22</v>
      </c>
      <c r="I167" s="1">
        <v>86.1</v>
      </c>
      <c r="J167" s="1">
        <v>9.43</v>
      </c>
      <c r="K167" s="1">
        <v>0</v>
      </c>
      <c r="L167" s="1">
        <v>4.2</v>
      </c>
      <c r="M167" s="1">
        <v>706285.52</v>
      </c>
      <c r="N167" s="1">
        <v>138014.72</v>
      </c>
    </row>
    <row r="168" spans="1:14">
      <c r="A168" s="1" t="s">
        <v>63</v>
      </c>
      <c r="B168" s="3">
        <v>45717</v>
      </c>
      <c r="C168" s="1" t="s">
        <v>20</v>
      </c>
      <c r="D168" s="1" t="s">
        <v>28</v>
      </c>
      <c r="E168" s="1">
        <v>30301.86</v>
      </c>
      <c r="F168" s="1">
        <v>6939</v>
      </c>
      <c r="G168" s="1">
        <v>0.09</v>
      </c>
      <c r="H168" s="1">
        <v>16</v>
      </c>
      <c r="I168" s="1">
        <v>90.3</v>
      </c>
      <c r="J168" s="1">
        <v>3.49</v>
      </c>
      <c r="K168" s="1">
        <v>0</v>
      </c>
      <c r="L168" s="1">
        <v>4</v>
      </c>
      <c r="M168" s="1">
        <v>665534.69999999995</v>
      </c>
      <c r="N168" s="1">
        <v>113167.73</v>
      </c>
    </row>
    <row r="169" spans="1:14">
      <c r="A169" s="1" t="s">
        <v>63</v>
      </c>
      <c r="B169" s="3">
        <v>45748</v>
      </c>
      <c r="C169" s="1" t="s">
        <v>20</v>
      </c>
      <c r="D169" s="1" t="s">
        <v>28</v>
      </c>
      <c r="E169" s="1">
        <v>78432.14</v>
      </c>
      <c r="F169" s="1">
        <v>9440</v>
      </c>
      <c r="G169" s="1">
        <v>0.126</v>
      </c>
      <c r="H169" s="1">
        <v>23</v>
      </c>
      <c r="I169" s="1">
        <v>89.2</v>
      </c>
      <c r="J169" s="1">
        <v>7.86</v>
      </c>
      <c r="K169" s="1">
        <v>0</v>
      </c>
      <c r="L169" s="1">
        <v>4.0999999999999996</v>
      </c>
      <c r="M169" s="1">
        <v>820729.29</v>
      </c>
      <c r="N169" s="1">
        <v>159325.47</v>
      </c>
    </row>
    <row r="170" spans="1:14">
      <c r="A170" s="1" t="s">
        <v>64</v>
      </c>
      <c r="B170" s="3">
        <v>45658</v>
      </c>
      <c r="C170" s="1" t="s">
        <v>15</v>
      </c>
      <c r="D170" s="1" t="s">
        <v>16</v>
      </c>
      <c r="E170" s="1">
        <v>62059.18</v>
      </c>
      <c r="F170" s="1">
        <v>9374</v>
      </c>
      <c r="G170" s="1">
        <v>0.13600000000000001</v>
      </c>
      <c r="H170" s="1">
        <v>25</v>
      </c>
      <c r="I170" s="1">
        <v>87.1</v>
      </c>
      <c r="J170" s="1">
        <v>12.55</v>
      </c>
      <c r="K170" s="1">
        <v>0</v>
      </c>
      <c r="L170" s="1">
        <v>4.9000000000000004</v>
      </c>
      <c r="M170" s="1">
        <v>739831.73</v>
      </c>
      <c r="N170" s="1">
        <v>119490.21</v>
      </c>
    </row>
    <row r="171" spans="1:14">
      <c r="A171" s="1" t="s">
        <v>64</v>
      </c>
      <c r="B171" s="3">
        <v>45689</v>
      </c>
      <c r="C171" s="1" t="s">
        <v>15</v>
      </c>
      <c r="D171" s="1" t="s">
        <v>16</v>
      </c>
      <c r="E171" s="1">
        <v>32834.480000000003</v>
      </c>
      <c r="F171" s="1">
        <v>7576</v>
      </c>
      <c r="G171" s="1">
        <v>9.9000000000000005E-2</v>
      </c>
      <c r="H171" s="1">
        <v>15</v>
      </c>
      <c r="I171" s="1">
        <v>84.1</v>
      </c>
      <c r="J171" s="1">
        <v>3.48</v>
      </c>
      <c r="K171" s="1">
        <v>0</v>
      </c>
      <c r="L171" s="1">
        <v>5</v>
      </c>
      <c r="M171" s="1">
        <v>593637.14</v>
      </c>
      <c r="N171" s="1">
        <v>106648.14</v>
      </c>
    </row>
    <row r="172" spans="1:14">
      <c r="A172" s="1" t="s">
        <v>64</v>
      </c>
      <c r="B172" s="3">
        <v>45717</v>
      </c>
      <c r="C172" s="1" t="s">
        <v>15</v>
      </c>
      <c r="D172" s="1" t="s">
        <v>16</v>
      </c>
      <c r="E172" s="1">
        <v>50825.08</v>
      </c>
      <c r="F172" s="1">
        <v>8949</v>
      </c>
      <c r="G172" s="1">
        <v>0.157</v>
      </c>
      <c r="H172" s="1">
        <v>21</v>
      </c>
      <c r="I172" s="1">
        <v>84.7</v>
      </c>
      <c r="J172" s="1">
        <v>7.73</v>
      </c>
      <c r="K172" s="1">
        <v>0</v>
      </c>
      <c r="L172" s="1">
        <v>4.9000000000000004</v>
      </c>
      <c r="M172" s="1">
        <v>769702.76</v>
      </c>
      <c r="N172" s="1">
        <v>158697</v>
      </c>
    </row>
    <row r="173" spans="1:14">
      <c r="A173" s="1" t="s">
        <v>64</v>
      </c>
      <c r="B173" s="3">
        <v>45748</v>
      </c>
      <c r="C173" s="1" t="s">
        <v>15</v>
      </c>
      <c r="D173" s="1" t="s">
        <v>16</v>
      </c>
      <c r="E173" s="1">
        <v>36606.51</v>
      </c>
      <c r="F173" s="1">
        <v>7671</v>
      </c>
      <c r="G173" s="1">
        <v>0.11799999999999999</v>
      </c>
      <c r="H173" s="1">
        <v>18</v>
      </c>
      <c r="I173" s="1">
        <v>89.8</v>
      </c>
      <c r="J173" s="1">
        <v>0.25</v>
      </c>
      <c r="K173" s="1">
        <v>0</v>
      </c>
      <c r="L173" s="1">
        <v>4.4000000000000004</v>
      </c>
      <c r="M173" s="1">
        <v>679731.57</v>
      </c>
      <c r="N173" s="1">
        <v>121546.42</v>
      </c>
    </row>
    <row r="174" spans="1:14">
      <c r="A174" s="1" t="s">
        <v>65</v>
      </c>
      <c r="B174" s="3">
        <v>45658</v>
      </c>
      <c r="C174" s="1" t="s">
        <v>15</v>
      </c>
      <c r="D174" s="1" t="s">
        <v>16</v>
      </c>
      <c r="E174" s="1">
        <v>65237.79</v>
      </c>
      <c r="F174" s="1">
        <v>8741</v>
      </c>
      <c r="G174" s="1">
        <v>0.157</v>
      </c>
      <c r="H174" s="1">
        <v>20</v>
      </c>
      <c r="I174" s="1">
        <v>94.4</v>
      </c>
      <c r="J174" s="1">
        <v>6.43</v>
      </c>
      <c r="K174" s="1">
        <v>0</v>
      </c>
      <c r="L174" s="1">
        <v>3.3</v>
      </c>
      <c r="M174" s="1">
        <v>780344.18</v>
      </c>
      <c r="N174" s="1">
        <v>118239.09</v>
      </c>
    </row>
    <row r="175" spans="1:14">
      <c r="A175" s="1" t="s">
        <v>65</v>
      </c>
      <c r="B175" s="3">
        <v>45689</v>
      </c>
      <c r="C175" s="1" t="s">
        <v>15</v>
      </c>
      <c r="D175" s="1" t="s">
        <v>16</v>
      </c>
      <c r="E175" s="1">
        <v>43645.98</v>
      </c>
      <c r="F175" s="1">
        <v>9480</v>
      </c>
      <c r="G175" s="1">
        <v>0.109</v>
      </c>
      <c r="H175" s="1">
        <v>22</v>
      </c>
      <c r="I175" s="1">
        <v>89</v>
      </c>
      <c r="J175" s="1">
        <v>2.11</v>
      </c>
      <c r="K175" s="1">
        <v>0</v>
      </c>
      <c r="L175" s="1">
        <v>3.1</v>
      </c>
      <c r="M175" s="1">
        <v>721364.11</v>
      </c>
      <c r="N175" s="1">
        <v>147272.81</v>
      </c>
    </row>
    <row r="176" spans="1:14">
      <c r="A176" s="1" t="s">
        <v>65</v>
      </c>
      <c r="B176" s="3">
        <v>45717</v>
      </c>
      <c r="C176" s="1" t="s">
        <v>15</v>
      </c>
      <c r="D176" s="1" t="s">
        <v>16</v>
      </c>
      <c r="E176" s="1">
        <v>68040.149999999994</v>
      </c>
      <c r="F176" s="1">
        <v>9826</v>
      </c>
      <c r="G176" s="1">
        <v>0.125</v>
      </c>
      <c r="H176" s="1">
        <v>20</v>
      </c>
      <c r="I176" s="1">
        <v>83.9</v>
      </c>
      <c r="J176" s="1">
        <v>9.1199999999999992</v>
      </c>
      <c r="K176" s="1">
        <v>0</v>
      </c>
      <c r="L176" s="1">
        <v>3.6</v>
      </c>
      <c r="M176" s="1">
        <v>758138.29</v>
      </c>
      <c r="N176" s="1">
        <v>132975.26</v>
      </c>
    </row>
    <row r="177" spans="1:14">
      <c r="A177" s="1" t="s">
        <v>65</v>
      </c>
      <c r="B177" s="3">
        <v>45748</v>
      </c>
      <c r="C177" s="1" t="s">
        <v>15</v>
      </c>
      <c r="D177" s="1" t="s">
        <v>16</v>
      </c>
      <c r="E177" s="1">
        <v>63043.94</v>
      </c>
      <c r="F177" s="1">
        <v>10402</v>
      </c>
      <c r="G177" s="1">
        <v>0.159</v>
      </c>
      <c r="H177" s="1">
        <v>23</v>
      </c>
      <c r="I177" s="1">
        <v>93.9</v>
      </c>
      <c r="J177" s="1">
        <v>2.71</v>
      </c>
      <c r="K177" s="1">
        <v>0</v>
      </c>
      <c r="L177" s="1">
        <v>3.1</v>
      </c>
      <c r="M177" s="1">
        <v>804264</v>
      </c>
      <c r="N177" s="1">
        <v>167117.91</v>
      </c>
    </row>
    <row r="178" spans="1:14">
      <c r="A178" s="1" t="s">
        <v>66</v>
      </c>
      <c r="B178" s="3">
        <v>45658</v>
      </c>
      <c r="C178" s="1" t="s">
        <v>27</v>
      </c>
      <c r="D178" s="1" t="s">
        <v>21</v>
      </c>
      <c r="E178" s="1">
        <v>67494.09</v>
      </c>
      <c r="F178" s="1">
        <v>12361</v>
      </c>
      <c r="G178" s="1">
        <v>4.5999999999999999E-2</v>
      </c>
      <c r="H178" s="1">
        <v>24</v>
      </c>
      <c r="I178" s="1">
        <v>76.599999999999994</v>
      </c>
      <c r="J178" s="1">
        <v>3.65</v>
      </c>
      <c r="K178" s="1">
        <v>1</v>
      </c>
      <c r="L178" s="1">
        <v>3.7</v>
      </c>
      <c r="M178" s="1">
        <v>887537.75</v>
      </c>
      <c r="N178" s="1">
        <v>160362.92000000001</v>
      </c>
    </row>
    <row r="179" spans="1:14">
      <c r="A179" s="1" t="s">
        <v>66</v>
      </c>
      <c r="B179" s="3">
        <v>45689</v>
      </c>
      <c r="C179" s="1" t="s">
        <v>27</v>
      </c>
      <c r="D179" s="1" t="s">
        <v>21</v>
      </c>
      <c r="E179" s="1">
        <v>29389.32</v>
      </c>
      <c r="F179" s="1">
        <v>7925</v>
      </c>
      <c r="G179" s="1">
        <v>0.17699999999999999</v>
      </c>
      <c r="H179" s="1">
        <v>21</v>
      </c>
      <c r="I179" s="1">
        <v>90.9</v>
      </c>
      <c r="J179" s="1">
        <v>7.86</v>
      </c>
      <c r="K179" s="1">
        <v>0</v>
      </c>
      <c r="L179" s="1">
        <v>4</v>
      </c>
      <c r="M179" s="1">
        <v>783582</v>
      </c>
      <c r="N179" s="1">
        <v>130670.93</v>
      </c>
    </row>
    <row r="180" spans="1:14">
      <c r="A180" s="1" t="s">
        <v>66</v>
      </c>
      <c r="B180" s="3">
        <v>45717</v>
      </c>
      <c r="C180" s="1" t="s">
        <v>27</v>
      </c>
      <c r="D180" s="1" t="s">
        <v>21</v>
      </c>
      <c r="E180" s="1">
        <v>40535.089999999997</v>
      </c>
      <c r="F180" s="1">
        <v>8870</v>
      </c>
      <c r="G180" s="1">
        <v>4.1000000000000002E-2</v>
      </c>
      <c r="H180" s="1">
        <v>21</v>
      </c>
      <c r="I180" s="1">
        <v>86.6</v>
      </c>
      <c r="J180" s="1">
        <v>0.3</v>
      </c>
      <c r="K180" s="1">
        <v>0</v>
      </c>
      <c r="L180" s="1">
        <v>4.0999999999999996</v>
      </c>
      <c r="M180" s="1">
        <v>781955.52</v>
      </c>
      <c r="N180" s="1">
        <v>152578.71</v>
      </c>
    </row>
    <row r="181" spans="1:14">
      <c r="A181" s="1" t="s">
        <v>66</v>
      </c>
      <c r="B181" s="3">
        <v>45748</v>
      </c>
      <c r="C181" s="1" t="s">
        <v>27</v>
      </c>
      <c r="D181" s="1" t="s">
        <v>21</v>
      </c>
      <c r="E181" s="1">
        <v>74881.56</v>
      </c>
      <c r="F181" s="1">
        <v>9999</v>
      </c>
      <c r="G181" s="1">
        <v>1.2999999999999999E-2</v>
      </c>
      <c r="H181" s="1">
        <v>20</v>
      </c>
      <c r="I181" s="1">
        <v>89.6</v>
      </c>
      <c r="J181" s="1">
        <v>8.44</v>
      </c>
      <c r="K181" s="1">
        <v>0</v>
      </c>
      <c r="L181" s="1">
        <v>4.0999999999999996</v>
      </c>
      <c r="M181" s="1">
        <v>898031.04</v>
      </c>
      <c r="N181" s="1">
        <v>138666.5</v>
      </c>
    </row>
    <row r="182" spans="1:14">
      <c r="A182" s="1" t="s">
        <v>67</v>
      </c>
      <c r="B182" s="3">
        <v>45658</v>
      </c>
      <c r="C182" s="1" t="s">
        <v>27</v>
      </c>
      <c r="D182" s="1" t="s">
        <v>16</v>
      </c>
      <c r="E182" s="1">
        <v>68491.11</v>
      </c>
      <c r="F182" s="1">
        <v>11154</v>
      </c>
      <c r="G182" s="1">
        <v>1E-3</v>
      </c>
      <c r="H182" s="1">
        <v>24</v>
      </c>
      <c r="I182" s="1">
        <v>89.4</v>
      </c>
      <c r="J182" s="1">
        <v>5.27</v>
      </c>
      <c r="K182" s="1">
        <v>1</v>
      </c>
      <c r="L182" s="1">
        <v>3.9</v>
      </c>
      <c r="M182" s="1">
        <v>855341.28</v>
      </c>
      <c r="N182" s="1">
        <v>175823.8</v>
      </c>
    </row>
    <row r="183" spans="1:14">
      <c r="A183" s="1" t="s">
        <v>67</v>
      </c>
      <c r="B183" s="3">
        <v>45689</v>
      </c>
      <c r="C183" s="1" t="s">
        <v>27</v>
      </c>
      <c r="D183" s="1" t="s">
        <v>16</v>
      </c>
      <c r="E183" s="1">
        <v>45209.25</v>
      </c>
      <c r="F183" s="1">
        <v>9287</v>
      </c>
      <c r="G183" s="1">
        <v>0.14099999999999999</v>
      </c>
      <c r="H183" s="1">
        <v>22</v>
      </c>
      <c r="I183" s="1">
        <v>86.4</v>
      </c>
      <c r="J183" s="1">
        <v>13.22</v>
      </c>
      <c r="K183" s="1">
        <v>0</v>
      </c>
      <c r="L183" s="1">
        <v>3.6</v>
      </c>
      <c r="M183" s="1">
        <v>751393.88</v>
      </c>
      <c r="N183" s="1">
        <v>91480.320000000007</v>
      </c>
    </row>
    <row r="184" spans="1:14">
      <c r="A184" s="1" t="s">
        <v>67</v>
      </c>
      <c r="B184" s="3">
        <v>45717</v>
      </c>
      <c r="C184" s="1" t="s">
        <v>27</v>
      </c>
      <c r="D184" s="1" t="s">
        <v>16</v>
      </c>
      <c r="E184" s="1">
        <v>63010.23</v>
      </c>
      <c r="F184" s="1">
        <v>9812</v>
      </c>
      <c r="G184" s="1">
        <v>0.113</v>
      </c>
      <c r="H184" s="1">
        <v>24</v>
      </c>
      <c r="I184" s="1">
        <v>76.8</v>
      </c>
      <c r="J184" s="1">
        <v>1.02</v>
      </c>
      <c r="K184" s="1">
        <v>1</v>
      </c>
      <c r="L184" s="1">
        <v>3.8</v>
      </c>
      <c r="M184" s="1">
        <v>761077.08</v>
      </c>
      <c r="N184" s="1">
        <v>113605.93</v>
      </c>
    </row>
    <row r="185" spans="1:14">
      <c r="A185" s="1" t="s">
        <v>67</v>
      </c>
      <c r="B185" s="3">
        <v>45748</v>
      </c>
      <c r="C185" s="1" t="s">
        <v>27</v>
      </c>
      <c r="D185" s="1" t="s">
        <v>16</v>
      </c>
      <c r="E185" s="1">
        <v>57948.88</v>
      </c>
      <c r="F185" s="1">
        <v>10741</v>
      </c>
      <c r="G185" s="1">
        <v>7.0000000000000007E-2</v>
      </c>
      <c r="H185" s="1">
        <v>25</v>
      </c>
      <c r="I185" s="1">
        <v>90.1</v>
      </c>
      <c r="J185" s="1">
        <v>4.03</v>
      </c>
      <c r="K185" s="1">
        <v>0</v>
      </c>
      <c r="L185" s="1">
        <v>3.1</v>
      </c>
      <c r="M185" s="1">
        <v>819660.59</v>
      </c>
      <c r="N185" s="1">
        <v>172699.95</v>
      </c>
    </row>
    <row r="186" spans="1:14">
      <c r="A186" s="1" t="s">
        <v>68</v>
      </c>
      <c r="B186" s="3">
        <v>45658</v>
      </c>
      <c r="C186" s="1" t="s">
        <v>20</v>
      </c>
      <c r="D186" s="1" t="s">
        <v>18</v>
      </c>
      <c r="E186" s="1">
        <v>71941.62</v>
      </c>
      <c r="F186" s="1">
        <v>6084</v>
      </c>
      <c r="G186" s="1">
        <v>7.1999999999999995E-2</v>
      </c>
      <c r="H186" s="1">
        <v>13</v>
      </c>
      <c r="I186" s="1">
        <v>93.7</v>
      </c>
      <c r="J186" s="1">
        <v>2.34</v>
      </c>
      <c r="K186" s="1">
        <v>0</v>
      </c>
      <c r="L186" s="1">
        <v>4.4000000000000004</v>
      </c>
      <c r="M186" s="1">
        <v>681855.56</v>
      </c>
      <c r="N186" s="1">
        <v>117645.61</v>
      </c>
    </row>
    <row r="187" spans="1:14">
      <c r="A187" s="1" t="s">
        <v>68</v>
      </c>
      <c r="B187" s="3">
        <v>45689</v>
      </c>
      <c r="C187" s="1" t="s">
        <v>20</v>
      </c>
      <c r="D187" s="1" t="s">
        <v>18</v>
      </c>
      <c r="E187" s="1">
        <v>57147.88</v>
      </c>
      <c r="F187" s="1">
        <v>5252</v>
      </c>
      <c r="G187" s="1">
        <v>0.161</v>
      </c>
      <c r="H187" s="1">
        <v>15</v>
      </c>
      <c r="I187" s="1">
        <v>95.5</v>
      </c>
      <c r="J187" s="1">
        <v>8.51</v>
      </c>
      <c r="K187" s="1">
        <v>0</v>
      </c>
      <c r="L187" s="1">
        <v>4.4000000000000004</v>
      </c>
      <c r="M187" s="1">
        <v>678311.17</v>
      </c>
      <c r="N187" s="1">
        <v>132029.76000000001</v>
      </c>
    </row>
    <row r="188" spans="1:14">
      <c r="A188" s="1" t="s">
        <v>68</v>
      </c>
      <c r="B188" s="3">
        <v>45717</v>
      </c>
      <c r="C188" s="1" t="s">
        <v>20</v>
      </c>
      <c r="D188" s="1" t="s">
        <v>18</v>
      </c>
      <c r="E188" s="1">
        <v>48031.74</v>
      </c>
      <c r="F188" s="1">
        <v>6516</v>
      </c>
      <c r="G188" s="1">
        <v>6.7000000000000004E-2</v>
      </c>
      <c r="H188" s="1">
        <v>14</v>
      </c>
      <c r="I188" s="1">
        <v>99</v>
      </c>
      <c r="J188" s="1">
        <v>0.48</v>
      </c>
      <c r="K188" s="1">
        <v>1</v>
      </c>
      <c r="L188" s="1">
        <v>4.3</v>
      </c>
      <c r="M188" s="1">
        <v>765906.95</v>
      </c>
      <c r="N188" s="1">
        <v>114005.9</v>
      </c>
    </row>
    <row r="189" spans="1:14">
      <c r="A189" s="1" t="s">
        <v>68</v>
      </c>
      <c r="B189" s="3">
        <v>45748</v>
      </c>
      <c r="C189" s="1" t="s">
        <v>20</v>
      </c>
      <c r="D189" s="1" t="s">
        <v>18</v>
      </c>
      <c r="E189" s="1">
        <v>72784.800000000003</v>
      </c>
      <c r="F189" s="1">
        <v>7932</v>
      </c>
      <c r="G189" s="1">
        <v>9.4E-2</v>
      </c>
      <c r="H189" s="1">
        <v>20</v>
      </c>
      <c r="I189" s="1">
        <v>74.900000000000006</v>
      </c>
      <c r="J189" s="1">
        <v>13.62</v>
      </c>
      <c r="K189" s="1">
        <v>0</v>
      </c>
      <c r="L189" s="1">
        <v>4.2</v>
      </c>
      <c r="M189" s="1">
        <v>712546.38</v>
      </c>
      <c r="N189" s="1">
        <v>101480.04</v>
      </c>
    </row>
    <row r="190" spans="1:14">
      <c r="A190" s="1" t="s">
        <v>69</v>
      </c>
      <c r="B190" s="3">
        <v>45658</v>
      </c>
      <c r="C190" s="1" t="s">
        <v>15</v>
      </c>
      <c r="D190" s="1" t="s">
        <v>18</v>
      </c>
      <c r="E190" s="1">
        <v>71641.899999999994</v>
      </c>
      <c r="F190" s="1">
        <v>3506</v>
      </c>
      <c r="G190" s="1">
        <v>0</v>
      </c>
      <c r="H190" s="1">
        <v>11</v>
      </c>
      <c r="I190" s="1">
        <v>86.4</v>
      </c>
      <c r="J190" s="1">
        <v>7.77</v>
      </c>
      <c r="K190" s="1">
        <v>0</v>
      </c>
      <c r="L190" s="1">
        <v>4.0999999999999996</v>
      </c>
      <c r="M190" s="1">
        <v>625993.82999999996</v>
      </c>
      <c r="N190" s="1">
        <v>98960.320000000007</v>
      </c>
    </row>
    <row r="191" spans="1:14">
      <c r="A191" s="1" t="s">
        <v>69</v>
      </c>
      <c r="B191" s="3">
        <v>45689</v>
      </c>
      <c r="C191" s="1" t="s">
        <v>15</v>
      </c>
      <c r="D191" s="1" t="s">
        <v>18</v>
      </c>
      <c r="E191" s="1">
        <v>55788.61</v>
      </c>
      <c r="F191" s="1">
        <v>2312</v>
      </c>
      <c r="G191" s="1">
        <v>5.8000000000000003E-2</v>
      </c>
      <c r="H191" s="1">
        <v>10</v>
      </c>
      <c r="I191" s="1">
        <v>91.3</v>
      </c>
      <c r="J191" s="1">
        <v>1.99</v>
      </c>
      <c r="K191" s="1">
        <v>0</v>
      </c>
      <c r="L191" s="1">
        <v>3.8</v>
      </c>
      <c r="M191" s="1">
        <v>550962.93000000005</v>
      </c>
      <c r="N191" s="1">
        <v>97144.58</v>
      </c>
    </row>
    <row r="192" spans="1:14">
      <c r="A192" s="1" t="s">
        <v>69</v>
      </c>
      <c r="B192" s="3">
        <v>45717</v>
      </c>
      <c r="C192" s="1" t="s">
        <v>15</v>
      </c>
      <c r="D192" s="1" t="s">
        <v>18</v>
      </c>
      <c r="E192" s="1">
        <v>37705.879999999997</v>
      </c>
      <c r="F192" s="1">
        <v>1268</v>
      </c>
      <c r="G192" s="1">
        <v>0.25900000000000001</v>
      </c>
      <c r="H192" s="1">
        <v>9</v>
      </c>
      <c r="I192" s="1">
        <v>84.1</v>
      </c>
      <c r="J192" s="1">
        <v>4.7699999999999996</v>
      </c>
      <c r="K192" s="1">
        <v>0</v>
      </c>
      <c r="L192" s="1">
        <v>3.8</v>
      </c>
      <c r="M192" s="1">
        <v>443275.59</v>
      </c>
      <c r="N192" s="1">
        <v>53544.36</v>
      </c>
    </row>
    <row r="193" spans="1:14">
      <c r="A193" s="1" t="s">
        <v>69</v>
      </c>
      <c r="B193" s="3">
        <v>45748</v>
      </c>
      <c r="C193" s="1" t="s">
        <v>15</v>
      </c>
      <c r="D193" s="1" t="s">
        <v>18</v>
      </c>
      <c r="E193" s="1">
        <v>54966.18</v>
      </c>
      <c r="F193" s="1">
        <v>4423</v>
      </c>
      <c r="G193" s="1">
        <v>0.186</v>
      </c>
      <c r="H193" s="1">
        <v>13</v>
      </c>
      <c r="I193" s="1">
        <v>88.7</v>
      </c>
      <c r="J193" s="1">
        <v>0.2</v>
      </c>
      <c r="K193" s="1">
        <v>0</v>
      </c>
      <c r="L193" s="1">
        <v>4.4000000000000004</v>
      </c>
      <c r="M193" s="1">
        <v>554012.06999999995</v>
      </c>
      <c r="N193" s="1">
        <v>81101.62</v>
      </c>
    </row>
    <row r="194" spans="1:14">
      <c r="A194" s="1" t="s">
        <v>70</v>
      </c>
      <c r="B194" s="3">
        <v>45658</v>
      </c>
      <c r="C194" s="1" t="s">
        <v>27</v>
      </c>
      <c r="D194" s="1" t="s">
        <v>16</v>
      </c>
      <c r="E194" s="1">
        <v>81796.740000000005</v>
      </c>
      <c r="F194" s="1">
        <v>6177</v>
      </c>
      <c r="G194" s="1">
        <v>0.16400000000000001</v>
      </c>
      <c r="H194" s="1">
        <v>14</v>
      </c>
      <c r="I194" s="1">
        <v>87.9</v>
      </c>
      <c r="J194" s="1">
        <v>0.53</v>
      </c>
      <c r="K194" s="1">
        <v>0</v>
      </c>
      <c r="L194" s="1">
        <v>3.2</v>
      </c>
      <c r="M194" s="1">
        <v>643428.85</v>
      </c>
      <c r="N194" s="1">
        <v>94477.63</v>
      </c>
    </row>
    <row r="195" spans="1:14">
      <c r="A195" s="1" t="s">
        <v>70</v>
      </c>
      <c r="B195" s="3">
        <v>45689</v>
      </c>
      <c r="C195" s="1" t="s">
        <v>27</v>
      </c>
      <c r="D195" s="1" t="s">
        <v>16</v>
      </c>
      <c r="E195" s="1">
        <v>51133.43</v>
      </c>
      <c r="F195" s="1">
        <v>5150</v>
      </c>
      <c r="G195" s="1">
        <v>0.15</v>
      </c>
      <c r="H195" s="1">
        <v>12</v>
      </c>
      <c r="I195" s="1">
        <v>88.5</v>
      </c>
      <c r="J195" s="1">
        <v>1.54</v>
      </c>
      <c r="K195" s="1">
        <v>0</v>
      </c>
      <c r="L195" s="1">
        <v>3.2</v>
      </c>
      <c r="M195" s="1">
        <v>611924.27</v>
      </c>
      <c r="N195" s="1">
        <v>115488.75</v>
      </c>
    </row>
    <row r="196" spans="1:14">
      <c r="A196" s="1" t="s">
        <v>70</v>
      </c>
      <c r="B196" s="3">
        <v>45717</v>
      </c>
      <c r="C196" s="1" t="s">
        <v>27</v>
      </c>
      <c r="D196" s="1" t="s">
        <v>16</v>
      </c>
      <c r="E196" s="1">
        <v>40220.18</v>
      </c>
      <c r="F196" s="1">
        <v>3783</v>
      </c>
      <c r="G196" s="1">
        <v>8.8999999999999996E-2</v>
      </c>
      <c r="H196" s="1">
        <v>14</v>
      </c>
      <c r="I196" s="1">
        <v>86.6</v>
      </c>
      <c r="J196" s="1">
        <v>3.63</v>
      </c>
      <c r="K196" s="1">
        <v>0</v>
      </c>
      <c r="L196" s="1">
        <v>3.7</v>
      </c>
      <c r="M196" s="1">
        <v>559422.02</v>
      </c>
      <c r="N196" s="1">
        <v>73528.740000000005</v>
      </c>
    </row>
    <row r="197" spans="1:14">
      <c r="A197" s="1" t="s">
        <v>70</v>
      </c>
      <c r="B197" s="3">
        <v>45748</v>
      </c>
      <c r="C197" s="1" t="s">
        <v>27</v>
      </c>
      <c r="D197" s="1" t="s">
        <v>16</v>
      </c>
      <c r="E197" s="1">
        <v>41657.64</v>
      </c>
      <c r="F197" s="1">
        <v>3135</v>
      </c>
      <c r="G197" s="1">
        <v>0.22900000000000001</v>
      </c>
      <c r="H197" s="1">
        <v>7</v>
      </c>
      <c r="I197" s="1">
        <v>85.4</v>
      </c>
      <c r="J197" s="1">
        <v>13.48</v>
      </c>
      <c r="K197" s="1">
        <v>0</v>
      </c>
      <c r="L197" s="1"/>
      <c r="M197" s="1">
        <v>449465.06</v>
      </c>
      <c r="N197" s="1">
        <v>65694.78</v>
      </c>
    </row>
    <row r="198" spans="1:14">
      <c r="A198" s="1" t="s">
        <v>71</v>
      </c>
      <c r="B198" s="3">
        <v>45658</v>
      </c>
      <c r="C198" s="1" t="s">
        <v>20</v>
      </c>
      <c r="D198" s="1" t="s">
        <v>16</v>
      </c>
      <c r="E198" s="1">
        <v>71851.45</v>
      </c>
      <c r="F198" s="1">
        <v>4970</v>
      </c>
      <c r="G198" s="1">
        <v>9.8000000000000004E-2</v>
      </c>
      <c r="H198" s="1">
        <v>11</v>
      </c>
      <c r="I198" s="1">
        <v>89.6</v>
      </c>
      <c r="J198" s="1">
        <v>0.2</v>
      </c>
      <c r="K198" s="1">
        <v>0</v>
      </c>
      <c r="L198" s="1">
        <v>4.2</v>
      </c>
      <c r="M198" s="1">
        <v>691447.43</v>
      </c>
      <c r="N198" s="1">
        <v>114077.69</v>
      </c>
    </row>
    <row r="199" spans="1:14">
      <c r="A199" s="1" t="s">
        <v>71</v>
      </c>
      <c r="B199" s="3">
        <v>45689</v>
      </c>
      <c r="C199" s="1" t="s">
        <v>20</v>
      </c>
      <c r="D199" s="1" t="s">
        <v>16</v>
      </c>
      <c r="E199" s="1">
        <v>54002.83</v>
      </c>
      <c r="F199" s="1">
        <v>4366</v>
      </c>
      <c r="G199" s="1">
        <v>2.7E-2</v>
      </c>
      <c r="H199" s="1">
        <v>15</v>
      </c>
      <c r="I199" s="1">
        <v>90.6</v>
      </c>
      <c r="J199" s="1">
        <v>12.82</v>
      </c>
      <c r="K199" s="1">
        <v>0</v>
      </c>
      <c r="L199" s="1">
        <v>4.5999999999999996</v>
      </c>
      <c r="M199" s="1">
        <v>574066.61</v>
      </c>
      <c r="N199" s="1">
        <v>124674.67</v>
      </c>
    </row>
    <row r="200" spans="1:14">
      <c r="A200" s="1" t="s">
        <v>71</v>
      </c>
      <c r="B200" s="3">
        <v>45717</v>
      </c>
      <c r="C200" s="1" t="s">
        <v>20</v>
      </c>
      <c r="D200" s="1" t="s">
        <v>16</v>
      </c>
      <c r="E200" s="1">
        <v>54479.33</v>
      </c>
      <c r="F200" s="1">
        <v>5012</v>
      </c>
      <c r="G200" s="1">
        <v>0.28399999999999997</v>
      </c>
      <c r="H200" s="1">
        <v>13</v>
      </c>
      <c r="I200" s="1">
        <v>86</v>
      </c>
      <c r="J200" s="1">
        <v>2.2400000000000002</v>
      </c>
      <c r="K200" s="1">
        <v>1</v>
      </c>
      <c r="L200" s="1">
        <v>4.3</v>
      </c>
      <c r="M200" s="1">
        <v>578949.84</v>
      </c>
      <c r="N200" s="1">
        <v>80253.649999999994</v>
      </c>
    </row>
    <row r="201" spans="1:14">
      <c r="A201" s="1" t="s">
        <v>71</v>
      </c>
      <c r="B201" s="3">
        <v>45748</v>
      </c>
      <c r="C201" s="1" t="s">
        <v>20</v>
      </c>
      <c r="D201" s="1" t="s">
        <v>16</v>
      </c>
      <c r="E201" s="1">
        <v>61391.8</v>
      </c>
      <c r="F201" s="1">
        <v>5575</v>
      </c>
      <c r="G201" s="1">
        <v>0.189</v>
      </c>
      <c r="H201" s="1">
        <v>18</v>
      </c>
      <c r="I201" s="1">
        <v>90</v>
      </c>
      <c r="J201" s="1">
        <v>1.8</v>
      </c>
      <c r="K201" s="1">
        <v>0</v>
      </c>
      <c r="L201" s="1">
        <v>4.8</v>
      </c>
      <c r="M201" s="1">
        <v>735786.64</v>
      </c>
      <c r="N201" s="1">
        <v>126540.66</v>
      </c>
    </row>
    <row r="202" spans="1:14">
      <c r="A202" s="1" t="s">
        <v>72</v>
      </c>
      <c r="B202" s="3">
        <v>45658</v>
      </c>
      <c r="C202" s="1" t="s">
        <v>15</v>
      </c>
      <c r="D202" s="1" t="s">
        <v>21</v>
      </c>
      <c r="E202" s="1">
        <v>22312.93</v>
      </c>
      <c r="F202" s="1">
        <v>5955</v>
      </c>
      <c r="G202" s="1">
        <v>0.123</v>
      </c>
      <c r="H202" s="1">
        <v>13</v>
      </c>
      <c r="I202" s="1">
        <v>84.2</v>
      </c>
      <c r="J202" s="1">
        <v>0.41</v>
      </c>
      <c r="K202" s="1">
        <v>1</v>
      </c>
      <c r="L202" s="1">
        <v>4.5999999999999996</v>
      </c>
      <c r="M202" s="1">
        <v>598904.9</v>
      </c>
      <c r="N202" s="1">
        <v>72861</v>
      </c>
    </row>
    <row r="203" spans="1:14">
      <c r="A203" s="1" t="s">
        <v>72</v>
      </c>
      <c r="B203" s="3">
        <v>45689</v>
      </c>
      <c r="C203" s="1" t="s">
        <v>15</v>
      </c>
      <c r="D203" s="1" t="s">
        <v>21</v>
      </c>
      <c r="E203" s="1">
        <v>78111.97</v>
      </c>
      <c r="F203" s="1">
        <v>6389</v>
      </c>
      <c r="G203" s="1">
        <v>0.15</v>
      </c>
      <c r="H203" s="1">
        <v>13</v>
      </c>
      <c r="I203" s="1">
        <v>83.9</v>
      </c>
      <c r="J203" s="1">
        <v>3.05</v>
      </c>
      <c r="K203" s="1">
        <v>0</v>
      </c>
      <c r="L203" s="1">
        <v>4.8</v>
      </c>
      <c r="M203" s="1">
        <v>787715.51</v>
      </c>
      <c r="N203" s="1">
        <v>128969.62</v>
      </c>
    </row>
    <row r="204" spans="1:14">
      <c r="A204" s="1" t="s">
        <v>72</v>
      </c>
      <c r="B204" s="3">
        <v>45717</v>
      </c>
      <c r="C204" s="1" t="s">
        <v>15</v>
      </c>
      <c r="D204" s="1" t="s">
        <v>21</v>
      </c>
      <c r="E204" s="1">
        <v>35203.230000000003</v>
      </c>
      <c r="F204" s="1">
        <v>6896</v>
      </c>
      <c r="G204" s="1">
        <v>3.2000000000000001E-2</v>
      </c>
      <c r="H204" s="1">
        <v>14</v>
      </c>
      <c r="I204" s="1">
        <v>80.8</v>
      </c>
      <c r="J204" s="1">
        <v>8.44</v>
      </c>
      <c r="K204" s="1">
        <v>1</v>
      </c>
      <c r="L204" s="1">
        <v>5</v>
      </c>
      <c r="M204" s="1">
        <v>607084.92000000004</v>
      </c>
      <c r="N204" s="1">
        <v>98558.49</v>
      </c>
    </row>
    <row r="205" spans="1:14">
      <c r="A205" s="1" t="s">
        <v>72</v>
      </c>
      <c r="B205" s="3">
        <v>45748</v>
      </c>
      <c r="C205" s="1" t="s">
        <v>15</v>
      </c>
      <c r="D205" s="1" t="s">
        <v>21</v>
      </c>
      <c r="E205" s="1">
        <v>64104.28</v>
      </c>
      <c r="F205" s="1">
        <v>6015</v>
      </c>
      <c r="G205" s="1">
        <v>0.127</v>
      </c>
      <c r="H205" s="1">
        <v>15</v>
      </c>
      <c r="I205" s="1">
        <v>88.7</v>
      </c>
      <c r="J205" s="1">
        <v>0.78</v>
      </c>
      <c r="K205" s="1">
        <v>0</v>
      </c>
      <c r="L205" s="1">
        <v>4</v>
      </c>
      <c r="M205" s="1">
        <v>650795.49</v>
      </c>
      <c r="N205" s="1">
        <v>103035.89</v>
      </c>
    </row>
    <row r="206" spans="1:14">
      <c r="A206" s="1" t="s">
        <v>73</v>
      </c>
      <c r="B206" s="3">
        <v>45658</v>
      </c>
      <c r="C206" s="1" t="s">
        <v>15</v>
      </c>
      <c r="D206" s="1" t="s">
        <v>28</v>
      </c>
      <c r="E206" s="1">
        <v>92090.14</v>
      </c>
      <c r="F206" s="1">
        <v>9476</v>
      </c>
      <c r="G206" s="1">
        <v>7.0000000000000007E-2</v>
      </c>
      <c r="H206" s="1">
        <v>24</v>
      </c>
      <c r="I206" s="1">
        <v>94.3</v>
      </c>
      <c r="J206" s="1">
        <v>0.87</v>
      </c>
      <c r="K206" s="1">
        <v>0</v>
      </c>
      <c r="L206" s="1">
        <v>3.7</v>
      </c>
      <c r="M206" s="1">
        <v>825060.52</v>
      </c>
      <c r="N206" s="1">
        <v>143613.15</v>
      </c>
    </row>
    <row r="207" spans="1:14">
      <c r="A207" s="1" t="s">
        <v>73</v>
      </c>
      <c r="B207" s="3">
        <v>45689</v>
      </c>
      <c r="C207" s="1" t="s">
        <v>15</v>
      </c>
      <c r="D207" s="1" t="s">
        <v>28</v>
      </c>
      <c r="E207" s="1">
        <v>54300.87</v>
      </c>
      <c r="F207" s="1">
        <v>7875</v>
      </c>
      <c r="G207" s="1">
        <v>0.107</v>
      </c>
      <c r="H207" s="1">
        <v>19</v>
      </c>
      <c r="I207" s="1">
        <v>94.1</v>
      </c>
      <c r="J207" s="1">
        <v>0.95</v>
      </c>
      <c r="K207" s="1">
        <v>0</v>
      </c>
      <c r="L207" s="1">
        <v>3.7</v>
      </c>
      <c r="M207" s="1">
        <v>795464.47</v>
      </c>
      <c r="N207" s="1">
        <v>161150.51999999999</v>
      </c>
    </row>
    <row r="208" spans="1:14">
      <c r="A208" s="1" t="s">
        <v>73</v>
      </c>
      <c r="B208" s="3">
        <v>45717</v>
      </c>
      <c r="C208" s="1" t="s">
        <v>15</v>
      </c>
      <c r="D208" s="1" t="s">
        <v>28</v>
      </c>
      <c r="E208" s="1">
        <v>37983.35</v>
      </c>
      <c r="F208" s="1">
        <v>9283</v>
      </c>
      <c r="G208" s="1">
        <v>0.14899999999999999</v>
      </c>
      <c r="H208" s="1">
        <v>19</v>
      </c>
      <c r="I208" s="1">
        <v>83.2</v>
      </c>
      <c r="J208" s="1">
        <v>3.82</v>
      </c>
      <c r="K208" s="1">
        <v>0</v>
      </c>
      <c r="L208" s="1">
        <v>3.7</v>
      </c>
      <c r="M208" s="1">
        <v>671868.59</v>
      </c>
      <c r="N208" s="1">
        <v>71003.28</v>
      </c>
    </row>
    <row r="209" spans="1:14">
      <c r="A209" s="1" t="s">
        <v>73</v>
      </c>
      <c r="B209" s="3">
        <v>45748</v>
      </c>
      <c r="C209" s="1" t="s">
        <v>15</v>
      </c>
      <c r="D209" s="1" t="s">
        <v>28</v>
      </c>
      <c r="E209" s="1">
        <v>56413.83</v>
      </c>
      <c r="F209" s="1">
        <v>8303</v>
      </c>
      <c r="G209" s="1">
        <v>0.11600000000000001</v>
      </c>
      <c r="H209" s="1">
        <v>18</v>
      </c>
      <c r="I209" s="1">
        <v>93.6</v>
      </c>
      <c r="J209" s="1">
        <v>2.7</v>
      </c>
      <c r="K209" s="1">
        <v>0</v>
      </c>
      <c r="L209" s="1">
        <v>3.7</v>
      </c>
      <c r="M209" s="1">
        <v>675917.63</v>
      </c>
      <c r="N209" s="1">
        <v>112564.75</v>
      </c>
    </row>
    <row r="210" spans="1:14">
      <c r="A210" s="1" t="s">
        <v>74</v>
      </c>
      <c r="B210" s="3">
        <v>45658</v>
      </c>
      <c r="C210" s="1" t="s">
        <v>15</v>
      </c>
      <c r="D210" s="1" t="s">
        <v>18</v>
      </c>
      <c r="E210" s="1">
        <v>63457.19</v>
      </c>
      <c r="F210" s="1">
        <v>10125</v>
      </c>
      <c r="G210" s="1">
        <v>9.7000000000000003E-2</v>
      </c>
      <c r="H210" s="1">
        <v>24</v>
      </c>
      <c r="I210" s="1">
        <v>87</v>
      </c>
      <c r="J210" s="1">
        <v>3.84</v>
      </c>
      <c r="K210" s="1">
        <v>1</v>
      </c>
      <c r="L210" s="1">
        <v>3.7</v>
      </c>
      <c r="M210" s="1">
        <v>810446.53</v>
      </c>
      <c r="N210" s="1">
        <v>200575.34</v>
      </c>
    </row>
    <row r="211" spans="1:14">
      <c r="A211" s="1" t="s">
        <v>74</v>
      </c>
      <c r="B211" s="3">
        <v>45689</v>
      </c>
      <c r="C211" s="1" t="s">
        <v>15</v>
      </c>
      <c r="D211" s="1" t="s">
        <v>18</v>
      </c>
      <c r="E211" s="1">
        <v>62949.7</v>
      </c>
      <c r="F211" s="1">
        <v>9458</v>
      </c>
      <c r="G211" s="1">
        <v>0.17100000000000001</v>
      </c>
      <c r="H211" s="1">
        <v>19</v>
      </c>
      <c r="I211" s="1">
        <v>84.9</v>
      </c>
      <c r="J211" s="1">
        <v>5.09</v>
      </c>
      <c r="K211" s="1">
        <v>0</v>
      </c>
      <c r="L211" s="1">
        <v>3.3</v>
      </c>
      <c r="M211" s="1">
        <v>691288.19</v>
      </c>
      <c r="N211" s="1">
        <v>159074.14000000001</v>
      </c>
    </row>
    <row r="212" spans="1:14">
      <c r="A212" s="1" t="s">
        <v>74</v>
      </c>
      <c r="B212" s="3">
        <v>45717</v>
      </c>
      <c r="C212" s="1" t="s">
        <v>15</v>
      </c>
      <c r="D212" s="1" t="s">
        <v>18</v>
      </c>
      <c r="E212" s="1">
        <v>107970.19</v>
      </c>
      <c r="F212" s="1">
        <v>12870</v>
      </c>
      <c r="G212" s="1">
        <v>2.9000000000000001E-2</v>
      </c>
      <c r="H212" s="1">
        <v>31</v>
      </c>
      <c r="I212" s="1">
        <v>91.7</v>
      </c>
      <c r="J212" s="1">
        <v>3.82</v>
      </c>
      <c r="K212" s="1">
        <v>1</v>
      </c>
      <c r="L212" s="1">
        <v>3.7</v>
      </c>
      <c r="M212" s="1">
        <v>946833.54</v>
      </c>
      <c r="N212" s="1">
        <v>184540.31</v>
      </c>
    </row>
    <row r="213" spans="1:14">
      <c r="A213" s="1" t="s">
        <v>74</v>
      </c>
      <c r="B213" s="3">
        <v>45748</v>
      </c>
      <c r="C213" s="1" t="s">
        <v>15</v>
      </c>
      <c r="D213" s="1" t="s">
        <v>18</v>
      </c>
      <c r="E213" s="1">
        <v>49405.75</v>
      </c>
      <c r="F213" s="1">
        <v>9752</v>
      </c>
      <c r="G213" s="1">
        <v>9.2999999999999999E-2</v>
      </c>
      <c r="H213" s="1">
        <v>21</v>
      </c>
      <c r="I213" s="1">
        <v>87</v>
      </c>
      <c r="J213" s="1">
        <v>12.28</v>
      </c>
      <c r="K213" s="1">
        <v>0</v>
      </c>
      <c r="L213" s="1">
        <v>4.0999999999999996</v>
      </c>
      <c r="M213" s="1">
        <v>761963.23</v>
      </c>
      <c r="N213" s="1">
        <v>150113.60999999999</v>
      </c>
    </row>
    <row r="214" spans="1:14">
      <c r="A214" s="1" t="s">
        <v>75</v>
      </c>
      <c r="B214" s="3">
        <v>45658</v>
      </c>
      <c r="C214" s="1" t="s">
        <v>27</v>
      </c>
      <c r="D214" s="1" t="s">
        <v>16</v>
      </c>
      <c r="E214" s="1">
        <v>50887.46</v>
      </c>
      <c r="F214" s="1">
        <v>9505</v>
      </c>
      <c r="G214" s="1">
        <v>9.0999999999999998E-2</v>
      </c>
      <c r="H214" s="1">
        <v>25</v>
      </c>
      <c r="I214" s="1">
        <v>89.7</v>
      </c>
      <c r="J214" s="1">
        <v>2.8</v>
      </c>
      <c r="K214" s="1">
        <v>0</v>
      </c>
      <c r="L214" s="1">
        <v>4.3</v>
      </c>
      <c r="M214" s="1">
        <v>812152.6</v>
      </c>
      <c r="N214" s="1">
        <v>138419.43</v>
      </c>
    </row>
    <row r="215" spans="1:14">
      <c r="A215" s="1" t="s">
        <v>75</v>
      </c>
      <c r="B215" s="3">
        <v>45689</v>
      </c>
      <c r="C215" s="1" t="s">
        <v>27</v>
      </c>
      <c r="D215" s="1" t="s">
        <v>16</v>
      </c>
      <c r="E215" s="1">
        <v>41819.449999999997</v>
      </c>
      <c r="F215" s="1">
        <v>9412</v>
      </c>
      <c r="G215" s="1">
        <v>0.15</v>
      </c>
      <c r="H215" s="1">
        <v>22</v>
      </c>
      <c r="I215" s="1">
        <v>91</v>
      </c>
      <c r="J215" s="1">
        <v>3.67</v>
      </c>
      <c r="K215" s="1">
        <v>0</v>
      </c>
      <c r="L215" s="1">
        <v>4.2</v>
      </c>
      <c r="M215" s="1">
        <v>804975.5</v>
      </c>
      <c r="N215" s="1">
        <v>140054.5</v>
      </c>
    </row>
    <row r="216" spans="1:14">
      <c r="A216" s="1" t="s">
        <v>75</v>
      </c>
      <c r="B216" s="3">
        <v>45717</v>
      </c>
      <c r="C216" s="1" t="s">
        <v>27</v>
      </c>
      <c r="D216" s="1" t="s">
        <v>16</v>
      </c>
      <c r="E216" s="1">
        <v>35296.54</v>
      </c>
      <c r="F216" s="1">
        <v>9644</v>
      </c>
      <c r="G216" s="1">
        <v>0</v>
      </c>
      <c r="H216" s="1">
        <v>22</v>
      </c>
      <c r="I216" s="1">
        <v>88</v>
      </c>
      <c r="J216" s="1">
        <v>2.81</v>
      </c>
      <c r="K216" s="1">
        <v>0</v>
      </c>
      <c r="L216" s="1">
        <v>4.7</v>
      </c>
      <c r="M216" s="1">
        <v>752321.72</v>
      </c>
      <c r="N216" s="1">
        <v>137788.51</v>
      </c>
    </row>
    <row r="217" spans="1:14">
      <c r="A217" s="1" t="s">
        <v>75</v>
      </c>
      <c r="B217" s="3">
        <v>45748</v>
      </c>
      <c r="C217" s="1" t="s">
        <v>27</v>
      </c>
      <c r="D217" s="1" t="s">
        <v>16</v>
      </c>
      <c r="E217" s="1">
        <v>47391.09</v>
      </c>
      <c r="F217" s="1">
        <v>11224</v>
      </c>
      <c r="G217" s="1">
        <v>0.14699999999999999</v>
      </c>
      <c r="H217" s="1">
        <v>25</v>
      </c>
      <c r="I217" s="1">
        <v>88.4</v>
      </c>
      <c r="J217" s="1">
        <v>2.44</v>
      </c>
      <c r="K217" s="1">
        <v>0</v>
      </c>
      <c r="L217" s="1">
        <v>4.9000000000000004</v>
      </c>
      <c r="M217" s="1">
        <v>836908.24</v>
      </c>
      <c r="N217" s="1">
        <v>141090.26</v>
      </c>
    </row>
    <row r="218" spans="1:14">
      <c r="A218" s="1" t="s">
        <v>76</v>
      </c>
      <c r="B218" s="3">
        <v>45658</v>
      </c>
      <c r="C218" s="1" t="s">
        <v>20</v>
      </c>
      <c r="D218" s="1" t="s">
        <v>21</v>
      </c>
      <c r="E218" s="1">
        <v>69180.539999999994</v>
      </c>
      <c r="F218" s="1">
        <v>5394</v>
      </c>
      <c r="G218" s="1">
        <v>0.126</v>
      </c>
      <c r="H218" s="1">
        <v>12</v>
      </c>
      <c r="I218" s="1">
        <v>82.9</v>
      </c>
      <c r="J218" s="1">
        <v>3.27</v>
      </c>
      <c r="K218" s="1">
        <v>0</v>
      </c>
      <c r="L218" s="1">
        <v>3.3</v>
      </c>
      <c r="M218" s="1">
        <v>674289.1</v>
      </c>
      <c r="N218" s="1">
        <v>117773.79</v>
      </c>
    </row>
    <row r="219" spans="1:14">
      <c r="A219" s="1" t="s">
        <v>76</v>
      </c>
      <c r="B219" s="3">
        <v>45689</v>
      </c>
      <c r="C219" s="1" t="s">
        <v>20</v>
      </c>
      <c r="D219" s="1" t="s">
        <v>21</v>
      </c>
      <c r="E219" s="1">
        <v>33987.33</v>
      </c>
      <c r="F219" s="1">
        <v>5014</v>
      </c>
      <c r="G219" s="1">
        <v>0.246</v>
      </c>
      <c r="H219" s="1">
        <v>17</v>
      </c>
      <c r="I219" s="1">
        <v>94.3</v>
      </c>
      <c r="J219" s="1">
        <v>10.34</v>
      </c>
      <c r="K219" s="1">
        <v>0</v>
      </c>
      <c r="L219" s="1">
        <v>3.9</v>
      </c>
      <c r="M219" s="1">
        <v>622892.42000000004</v>
      </c>
      <c r="N219" s="1">
        <v>101032.52</v>
      </c>
    </row>
    <row r="220" spans="1:14">
      <c r="A220" s="1" t="s">
        <v>76</v>
      </c>
      <c r="B220" s="3">
        <v>45717</v>
      </c>
      <c r="C220" s="1" t="s">
        <v>20</v>
      </c>
      <c r="D220" s="1" t="s">
        <v>21</v>
      </c>
      <c r="E220" s="1">
        <v>58785.33</v>
      </c>
      <c r="F220" s="1">
        <v>4467</v>
      </c>
      <c r="G220" s="1">
        <v>0.22900000000000001</v>
      </c>
      <c r="H220" s="1">
        <v>14</v>
      </c>
      <c r="I220" s="1">
        <v>90.7</v>
      </c>
      <c r="J220" s="1">
        <v>1.92</v>
      </c>
      <c r="K220" s="1">
        <v>0</v>
      </c>
      <c r="L220" s="1">
        <v>3.7</v>
      </c>
      <c r="M220" s="1">
        <v>673348.56</v>
      </c>
      <c r="N220" s="1">
        <v>69464.59</v>
      </c>
    </row>
    <row r="221" spans="1:14">
      <c r="A221" s="1" t="s">
        <v>76</v>
      </c>
      <c r="B221" s="3">
        <v>45748</v>
      </c>
      <c r="C221" s="1" t="s">
        <v>20</v>
      </c>
      <c r="D221" s="1" t="s">
        <v>21</v>
      </c>
      <c r="E221" s="1">
        <v>16451.849999999999</v>
      </c>
      <c r="F221" s="1">
        <v>4678</v>
      </c>
      <c r="G221" s="1">
        <v>0.13300000000000001</v>
      </c>
      <c r="H221" s="1">
        <v>11</v>
      </c>
      <c r="I221" s="1">
        <v>95.9</v>
      </c>
      <c r="J221" s="1">
        <v>3.1</v>
      </c>
      <c r="K221" s="1">
        <v>0</v>
      </c>
      <c r="L221" s="1">
        <v>3.9</v>
      </c>
      <c r="M221" s="1">
        <v>606278.30000000005</v>
      </c>
      <c r="N221" s="1">
        <v>102213.26</v>
      </c>
    </row>
    <row r="222" spans="1:14">
      <c r="A222" s="1" t="s">
        <v>77</v>
      </c>
      <c r="B222" s="3">
        <v>45658</v>
      </c>
      <c r="C222" s="1" t="s">
        <v>15</v>
      </c>
      <c r="D222" s="1" t="s">
        <v>18</v>
      </c>
      <c r="E222" s="1">
        <v>53367.73</v>
      </c>
      <c r="F222" s="1">
        <v>7291</v>
      </c>
      <c r="G222" s="1">
        <v>0.14599999999999999</v>
      </c>
      <c r="H222" s="1">
        <v>18</v>
      </c>
      <c r="I222" s="1">
        <v>90.6</v>
      </c>
      <c r="J222" s="1">
        <v>6.34</v>
      </c>
      <c r="K222" s="1">
        <v>1</v>
      </c>
      <c r="L222" s="1">
        <v>3.8</v>
      </c>
      <c r="M222" s="1">
        <v>712219.81</v>
      </c>
      <c r="N222" s="1">
        <v>85906.54</v>
      </c>
    </row>
    <row r="223" spans="1:14">
      <c r="A223" s="1" t="s">
        <v>77</v>
      </c>
      <c r="B223" s="3">
        <v>45689</v>
      </c>
      <c r="C223" s="1" t="s">
        <v>15</v>
      </c>
      <c r="D223" s="1" t="s">
        <v>18</v>
      </c>
      <c r="E223" s="1">
        <v>27194.639999999999</v>
      </c>
      <c r="F223" s="1">
        <v>7404</v>
      </c>
      <c r="G223" s="1">
        <v>8.7999999999999995E-2</v>
      </c>
      <c r="H223" s="1">
        <v>18</v>
      </c>
      <c r="I223" s="1">
        <v>90.2</v>
      </c>
      <c r="J223" s="1">
        <v>1.2</v>
      </c>
      <c r="K223" s="1">
        <v>0</v>
      </c>
      <c r="L223" s="1">
        <v>3.4</v>
      </c>
      <c r="M223" s="1">
        <v>672670.54</v>
      </c>
      <c r="N223" s="1">
        <v>132684.18</v>
      </c>
    </row>
    <row r="224" spans="1:14">
      <c r="A224" s="1" t="s">
        <v>77</v>
      </c>
      <c r="B224" s="3">
        <v>45717</v>
      </c>
      <c r="C224" s="1" t="s">
        <v>15</v>
      </c>
      <c r="D224" s="1" t="s">
        <v>18</v>
      </c>
      <c r="E224" s="1">
        <v>66962.740000000005</v>
      </c>
      <c r="F224" s="1">
        <v>7880</v>
      </c>
      <c r="G224" s="1">
        <v>0.11600000000000001</v>
      </c>
      <c r="H224" s="1">
        <v>19</v>
      </c>
      <c r="I224" s="1">
        <v>90.4</v>
      </c>
      <c r="J224" s="1">
        <v>4.5</v>
      </c>
      <c r="K224" s="1">
        <v>0</v>
      </c>
      <c r="L224" s="1">
        <v>3.3</v>
      </c>
      <c r="M224" s="1">
        <v>732667.92</v>
      </c>
      <c r="N224" s="1">
        <v>128654.46</v>
      </c>
    </row>
    <row r="225" spans="1:14">
      <c r="A225" s="1" t="s">
        <v>77</v>
      </c>
      <c r="B225" s="3">
        <v>45748</v>
      </c>
      <c r="C225" s="1" t="s">
        <v>15</v>
      </c>
      <c r="D225" s="1" t="s">
        <v>18</v>
      </c>
      <c r="E225" s="1">
        <v>73540.990000000005</v>
      </c>
      <c r="F225" s="1">
        <v>8773</v>
      </c>
      <c r="G225" s="1">
        <v>3.5000000000000003E-2</v>
      </c>
      <c r="H225" s="1">
        <v>21</v>
      </c>
      <c r="I225" s="1">
        <v>84.4</v>
      </c>
      <c r="J225" s="1">
        <v>6.68</v>
      </c>
      <c r="K225" s="1">
        <v>0</v>
      </c>
      <c r="L225" s="1">
        <v>3.6</v>
      </c>
      <c r="M225" s="1">
        <v>723531.4</v>
      </c>
      <c r="N225" s="1">
        <v>108794.85</v>
      </c>
    </row>
    <row r="226" spans="1:14">
      <c r="A226" s="1" t="s">
        <v>78</v>
      </c>
      <c r="B226" s="3">
        <v>45658</v>
      </c>
      <c r="C226" s="1" t="s">
        <v>15</v>
      </c>
      <c r="D226" s="1" t="s">
        <v>28</v>
      </c>
      <c r="E226" s="1">
        <v>68212.289999999994</v>
      </c>
      <c r="F226" s="1">
        <v>4713</v>
      </c>
      <c r="G226" s="1">
        <v>0.19800000000000001</v>
      </c>
      <c r="H226" s="1">
        <v>15</v>
      </c>
      <c r="I226" s="1">
        <v>82.6</v>
      </c>
      <c r="J226" s="1">
        <v>4.07</v>
      </c>
      <c r="K226" s="1">
        <v>1</v>
      </c>
      <c r="L226" s="1">
        <v>3</v>
      </c>
      <c r="M226" s="1">
        <v>641564.6</v>
      </c>
      <c r="N226" s="1">
        <v>90468.96</v>
      </c>
    </row>
    <row r="227" spans="1:14">
      <c r="A227" s="1" t="s">
        <v>78</v>
      </c>
      <c r="B227" s="3">
        <v>45689</v>
      </c>
      <c r="C227" s="1" t="s">
        <v>15</v>
      </c>
      <c r="D227" s="1" t="s">
        <v>28</v>
      </c>
      <c r="E227" s="1">
        <v>57225.98</v>
      </c>
      <c r="F227" s="1">
        <v>2842</v>
      </c>
      <c r="G227" s="1">
        <v>0.112</v>
      </c>
      <c r="H227" s="1">
        <v>10</v>
      </c>
      <c r="I227" s="1">
        <v>79.5</v>
      </c>
      <c r="J227" s="1">
        <v>5.45</v>
      </c>
      <c r="K227" s="1">
        <v>0</v>
      </c>
      <c r="L227" s="1">
        <v>3.4</v>
      </c>
      <c r="M227" s="1">
        <v>536545.49</v>
      </c>
      <c r="N227" s="1">
        <v>97917.45</v>
      </c>
    </row>
    <row r="228" spans="1:14">
      <c r="A228" s="1" t="s">
        <v>78</v>
      </c>
      <c r="B228" s="3">
        <v>45717</v>
      </c>
      <c r="C228" s="1" t="s">
        <v>15</v>
      </c>
      <c r="D228" s="1" t="s">
        <v>28</v>
      </c>
      <c r="E228" s="1">
        <v>42932.02</v>
      </c>
      <c r="F228" s="1">
        <v>3872</v>
      </c>
      <c r="G228" s="1">
        <v>0.17100000000000001</v>
      </c>
      <c r="H228" s="1">
        <v>12</v>
      </c>
      <c r="I228" s="1">
        <v>83.2</v>
      </c>
      <c r="J228" s="1">
        <v>15.58</v>
      </c>
      <c r="K228" s="1">
        <v>0</v>
      </c>
      <c r="L228" s="1">
        <v>3.3</v>
      </c>
      <c r="M228" s="1">
        <v>527681.56000000006</v>
      </c>
      <c r="N228" s="1">
        <v>63153.05</v>
      </c>
    </row>
    <row r="229" spans="1:14">
      <c r="A229" s="1" t="s">
        <v>78</v>
      </c>
      <c r="B229" s="3">
        <v>45748</v>
      </c>
      <c r="C229" s="1" t="s">
        <v>15</v>
      </c>
      <c r="D229" s="1" t="s">
        <v>28</v>
      </c>
      <c r="E229" s="1">
        <v>39341.449999999997</v>
      </c>
      <c r="F229" s="1">
        <v>1375</v>
      </c>
      <c r="G229" s="1">
        <v>9.2999999999999999E-2</v>
      </c>
      <c r="H229" s="1">
        <v>5</v>
      </c>
      <c r="I229" s="1">
        <v>95</v>
      </c>
      <c r="J229" s="1">
        <v>5.32</v>
      </c>
      <c r="K229" s="1">
        <v>0</v>
      </c>
      <c r="L229" s="1"/>
      <c r="M229" s="1">
        <v>529598.93999999994</v>
      </c>
      <c r="N229" s="1">
        <v>84334.33</v>
      </c>
    </row>
    <row r="230" spans="1:14">
      <c r="A230" s="1" t="s">
        <v>79</v>
      </c>
      <c r="B230" s="3">
        <v>45658</v>
      </c>
      <c r="C230" s="1" t="s">
        <v>15</v>
      </c>
      <c r="D230" s="1" t="s">
        <v>18</v>
      </c>
      <c r="E230" s="1">
        <v>37324.230000000003</v>
      </c>
      <c r="F230" s="1">
        <v>5957</v>
      </c>
      <c r="G230" s="1">
        <v>7.0999999999999994E-2</v>
      </c>
      <c r="H230" s="1">
        <v>12</v>
      </c>
      <c r="I230" s="1">
        <v>85.9</v>
      </c>
      <c r="J230" s="1">
        <v>0.37</v>
      </c>
      <c r="K230" s="1">
        <v>0</v>
      </c>
      <c r="L230" s="1">
        <v>3.8</v>
      </c>
      <c r="M230" s="1">
        <v>570963.31000000006</v>
      </c>
      <c r="N230" s="1">
        <v>87342.25</v>
      </c>
    </row>
    <row r="231" spans="1:14">
      <c r="A231" s="1" t="s">
        <v>79</v>
      </c>
      <c r="B231" s="3">
        <v>45689</v>
      </c>
      <c r="C231" s="1" t="s">
        <v>15</v>
      </c>
      <c r="D231" s="1" t="s">
        <v>18</v>
      </c>
      <c r="E231" s="1">
        <v>113736</v>
      </c>
      <c r="F231" s="1">
        <v>8961</v>
      </c>
      <c r="G231" s="1">
        <v>0.20200000000000001</v>
      </c>
      <c r="H231" s="1">
        <v>24</v>
      </c>
      <c r="I231" s="1">
        <v>86.2</v>
      </c>
      <c r="J231" s="1">
        <v>21.63</v>
      </c>
      <c r="K231" s="1">
        <v>0</v>
      </c>
      <c r="L231" s="1">
        <v>4</v>
      </c>
      <c r="M231" s="1">
        <v>870937.4</v>
      </c>
      <c r="N231" s="1">
        <v>175282.74</v>
      </c>
    </row>
    <row r="232" spans="1:14">
      <c r="A232" s="1" t="s">
        <v>79</v>
      </c>
      <c r="B232" s="3">
        <v>45717</v>
      </c>
      <c r="C232" s="1" t="s">
        <v>15</v>
      </c>
      <c r="D232" s="1" t="s">
        <v>18</v>
      </c>
      <c r="E232" s="1">
        <v>33173.949999999997</v>
      </c>
      <c r="F232" s="1">
        <v>6545</v>
      </c>
      <c r="G232" s="1">
        <v>0.16900000000000001</v>
      </c>
      <c r="H232" s="1">
        <v>15</v>
      </c>
      <c r="I232" s="1">
        <v>84.4</v>
      </c>
      <c r="J232" s="1">
        <v>2.48</v>
      </c>
      <c r="K232" s="1">
        <v>0</v>
      </c>
      <c r="L232" s="1">
        <v>3.9</v>
      </c>
      <c r="M232" s="1">
        <v>596969.27</v>
      </c>
      <c r="N232" s="1">
        <v>105669.51</v>
      </c>
    </row>
    <row r="233" spans="1:14">
      <c r="A233" s="1" t="s">
        <v>79</v>
      </c>
      <c r="B233" s="3">
        <v>45748</v>
      </c>
      <c r="C233" s="1" t="s">
        <v>15</v>
      </c>
      <c r="D233" s="1" t="s">
        <v>18</v>
      </c>
      <c r="E233" s="1">
        <v>25818.080000000002</v>
      </c>
      <c r="F233" s="1">
        <v>5457</v>
      </c>
      <c r="G233" s="1">
        <v>0</v>
      </c>
      <c r="H233" s="1">
        <v>11</v>
      </c>
      <c r="I233" s="1">
        <v>95.4</v>
      </c>
      <c r="J233" s="1"/>
      <c r="K233" s="1">
        <v>0</v>
      </c>
      <c r="L233" s="1">
        <v>3.7</v>
      </c>
      <c r="M233" s="1">
        <v>647512.85</v>
      </c>
      <c r="N233" s="1">
        <v>153835.57</v>
      </c>
    </row>
    <row r="234" spans="1:14">
      <c r="A234" s="1" t="s">
        <v>80</v>
      </c>
      <c r="B234" s="3">
        <v>45658</v>
      </c>
      <c r="C234" s="1" t="s">
        <v>27</v>
      </c>
      <c r="D234" s="1" t="s">
        <v>16</v>
      </c>
      <c r="E234" s="1">
        <v>47241.919999999998</v>
      </c>
      <c r="F234" s="1">
        <v>4264</v>
      </c>
      <c r="G234" s="1">
        <v>6.9000000000000006E-2</v>
      </c>
      <c r="H234" s="1">
        <v>13</v>
      </c>
      <c r="I234" s="1">
        <v>95.3</v>
      </c>
      <c r="J234" s="1">
        <v>0.85</v>
      </c>
      <c r="K234" s="1">
        <v>0</v>
      </c>
      <c r="L234" s="1">
        <v>4.3</v>
      </c>
      <c r="M234" s="1">
        <v>658072.14</v>
      </c>
      <c r="N234" s="1">
        <v>110595.89</v>
      </c>
    </row>
    <row r="235" spans="1:14">
      <c r="A235" s="1" t="s">
        <v>80</v>
      </c>
      <c r="B235" s="3">
        <v>45689</v>
      </c>
      <c r="C235" s="1" t="s">
        <v>27</v>
      </c>
      <c r="D235" s="1" t="s">
        <v>16</v>
      </c>
      <c r="E235" s="1">
        <v>61650.79</v>
      </c>
      <c r="F235" s="1">
        <v>5321</v>
      </c>
      <c r="G235" s="1">
        <v>0.126</v>
      </c>
      <c r="H235" s="1">
        <v>17</v>
      </c>
      <c r="I235" s="1">
        <v>89.2</v>
      </c>
      <c r="J235" s="1">
        <v>2.13</v>
      </c>
      <c r="K235" s="1">
        <v>0</v>
      </c>
      <c r="L235" s="1">
        <v>4</v>
      </c>
      <c r="M235" s="1">
        <v>723305.11</v>
      </c>
      <c r="N235" s="1">
        <v>128468.7</v>
      </c>
    </row>
    <row r="236" spans="1:14">
      <c r="A236" s="1" t="s">
        <v>80</v>
      </c>
      <c r="B236" s="3">
        <v>45717</v>
      </c>
      <c r="C236" s="1" t="s">
        <v>27</v>
      </c>
      <c r="D236" s="1" t="s">
        <v>16</v>
      </c>
      <c r="E236" s="1">
        <v>62582.71</v>
      </c>
      <c r="F236" s="1">
        <v>5479</v>
      </c>
      <c r="G236" s="1">
        <v>4.8000000000000001E-2</v>
      </c>
      <c r="H236" s="1">
        <v>16</v>
      </c>
      <c r="I236" s="1">
        <v>81.2</v>
      </c>
      <c r="J236" s="1">
        <v>1.46</v>
      </c>
      <c r="K236" s="1">
        <v>0</v>
      </c>
      <c r="L236" s="1">
        <v>4.5</v>
      </c>
      <c r="M236" s="1">
        <v>640666.53</v>
      </c>
      <c r="N236" s="1">
        <v>134919.16</v>
      </c>
    </row>
    <row r="237" spans="1:14">
      <c r="A237" s="1" t="s">
        <v>80</v>
      </c>
      <c r="B237" s="3">
        <v>45748</v>
      </c>
      <c r="C237" s="1" t="s">
        <v>27</v>
      </c>
      <c r="D237" s="1" t="s">
        <v>16</v>
      </c>
      <c r="E237" s="1">
        <v>47944.14</v>
      </c>
      <c r="F237" s="1">
        <v>6169</v>
      </c>
      <c r="G237" s="1">
        <v>0.11899999999999999</v>
      </c>
      <c r="H237" s="1">
        <v>17</v>
      </c>
      <c r="I237" s="1">
        <v>92.2</v>
      </c>
      <c r="J237" s="1">
        <v>3.02</v>
      </c>
      <c r="K237" s="1">
        <v>0</v>
      </c>
      <c r="L237" s="1">
        <v>4.0999999999999996</v>
      </c>
      <c r="M237" s="1">
        <v>670629.48</v>
      </c>
      <c r="N237" s="1">
        <v>100140.8</v>
      </c>
    </row>
    <row r="238" spans="1:14">
      <c r="A238" s="1" t="s">
        <v>81</v>
      </c>
      <c r="B238" s="3">
        <v>45658</v>
      </c>
      <c r="C238" s="1" t="s">
        <v>27</v>
      </c>
      <c r="D238" s="1" t="s">
        <v>28</v>
      </c>
      <c r="E238" s="1">
        <v>46495.4</v>
      </c>
      <c r="F238" s="1">
        <v>9908</v>
      </c>
      <c r="G238" s="1">
        <v>0.121</v>
      </c>
      <c r="H238" s="1">
        <v>22</v>
      </c>
      <c r="I238" s="1">
        <v>89.4</v>
      </c>
      <c r="J238" s="1">
        <v>3.22</v>
      </c>
      <c r="K238" s="1">
        <v>0</v>
      </c>
      <c r="L238" s="1">
        <v>3.7</v>
      </c>
      <c r="M238" s="1">
        <v>721079.35</v>
      </c>
      <c r="N238" s="1">
        <v>115295.05</v>
      </c>
    </row>
    <row r="239" spans="1:14">
      <c r="A239" s="1" t="s">
        <v>81</v>
      </c>
      <c r="B239" s="3">
        <v>45689</v>
      </c>
      <c r="C239" s="1" t="s">
        <v>27</v>
      </c>
      <c r="D239" s="1" t="s">
        <v>28</v>
      </c>
      <c r="E239" s="1">
        <v>72961.95</v>
      </c>
      <c r="F239" s="1">
        <v>9996</v>
      </c>
      <c r="G239" s="1">
        <v>0.106</v>
      </c>
      <c r="H239" s="1">
        <v>22</v>
      </c>
      <c r="I239" s="1">
        <v>89.1</v>
      </c>
      <c r="J239" s="1">
        <v>15.66</v>
      </c>
      <c r="K239" s="1">
        <v>0</v>
      </c>
      <c r="L239" s="1">
        <v>3.4</v>
      </c>
      <c r="M239" s="1">
        <v>810355.02</v>
      </c>
      <c r="N239" s="1">
        <v>131510</v>
      </c>
    </row>
    <row r="240" spans="1:14">
      <c r="A240" s="1" t="s">
        <v>81</v>
      </c>
      <c r="B240" s="3">
        <v>45717</v>
      </c>
      <c r="C240" s="1" t="s">
        <v>27</v>
      </c>
      <c r="D240" s="1" t="s">
        <v>28</v>
      </c>
      <c r="E240" s="1">
        <v>59060.05</v>
      </c>
      <c r="F240" s="1">
        <v>9702</v>
      </c>
      <c r="G240" s="1">
        <v>0.20100000000000001</v>
      </c>
      <c r="H240" s="1">
        <v>23</v>
      </c>
      <c r="I240" s="1">
        <v>80.900000000000006</v>
      </c>
      <c r="J240" s="1">
        <v>6.96</v>
      </c>
      <c r="K240" s="1">
        <v>0</v>
      </c>
      <c r="L240" s="1">
        <v>3.2</v>
      </c>
      <c r="M240" s="1">
        <v>761919.25</v>
      </c>
      <c r="N240" s="1">
        <v>111893.06</v>
      </c>
    </row>
    <row r="241" spans="1:14">
      <c r="A241" s="1" t="s">
        <v>81</v>
      </c>
      <c r="B241" s="3">
        <v>45748</v>
      </c>
      <c r="C241" s="1" t="s">
        <v>27</v>
      </c>
      <c r="D241" s="1" t="s">
        <v>28</v>
      </c>
      <c r="E241" s="1">
        <v>26248.1</v>
      </c>
      <c r="F241" s="1">
        <v>9314</v>
      </c>
      <c r="G241" s="1">
        <v>0.186</v>
      </c>
      <c r="H241" s="1">
        <v>21</v>
      </c>
      <c r="I241" s="1">
        <v>83.7</v>
      </c>
      <c r="J241" s="1">
        <v>4.62</v>
      </c>
      <c r="K241" s="1">
        <v>0</v>
      </c>
      <c r="L241" s="1">
        <v>3.3</v>
      </c>
      <c r="M241" s="1">
        <v>737070.18</v>
      </c>
      <c r="N241" s="1">
        <v>117593.97</v>
      </c>
    </row>
    <row r="242" spans="1:14">
      <c r="A242" s="1" t="s">
        <v>82</v>
      </c>
      <c r="B242" s="3">
        <v>45658</v>
      </c>
      <c r="C242" s="1" t="s">
        <v>24</v>
      </c>
      <c r="D242" s="1" t="s">
        <v>21</v>
      </c>
      <c r="E242" s="1">
        <v>69900.12</v>
      </c>
      <c r="F242" s="1">
        <v>8055</v>
      </c>
      <c r="G242" s="1">
        <v>0.28100000000000003</v>
      </c>
      <c r="H242" s="1">
        <v>22</v>
      </c>
      <c r="I242" s="1">
        <v>85.6</v>
      </c>
      <c r="J242" s="1">
        <v>10.68</v>
      </c>
      <c r="K242" s="1">
        <v>1</v>
      </c>
      <c r="L242" s="1">
        <v>2.9</v>
      </c>
      <c r="M242" s="1">
        <v>776992.93</v>
      </c>
      <c r="N242" s="1">
        <v>101598.32</v>
      </c>
    </row>
    <row r="243" spans="1:14">
      <c r="A243" s="1" t="s">
        <v>82</v>
      </c>
      <c r="B243" s="3">
        <v>45689</v>
      </c>
      <c r="C243" s="1" t="s">
        <v>24</v>
      </c>
      <c r="D243" s="1" t="s">
        <v>21</v>
      </c>
      <c r="E243" s="1">
        <v>51781.599999999999</v>
      </c>
      <c r="F243" s="1">
        <v>5648</v>
      </c>
      <c r="G243" s="1">
        <v>5.8999999999999997E-2</v>
      </c>
      <c r="H243" s="1">
        <v>13</v>
      </c>
      <c r="I243" s="1">
        <v>85.5</v>
      </c>
      <c r="J243" s="1">
        <v>4.04</v>
      </c>
      <c r="K243" s="1">
        <v>0</v>
      </c>
      <c r="L243" s="1">
        <v>3.7</v>
      </c>
      <c r="M243" s="1">
        <v>676337.41</v>
      </c>
      <c r="N243" s="1">
        <v>104355.77</v>
      </c>
    </row>
    <row r="244" spans="1:14">
      <c r="A244" s="1" t="s">
        <v>82</v>
      </c>
      <c r="B244" s="3">
        <v>45717</v>
      </c>
      <c r="C244" s="1" t="s">
        <v>24</v>
      </c>
      <c r="D244" s="1" t="s">
        <v>21</v>
      </c>
      <c r="E244" s="1">
        <v>70799.64</v>
      </c>
      <c r="F244" s="1">
        <v>10076</v>
      </c>
      <c r="G244" s="1">
        <v>0.152</v>
      </c>
      <c r="H244" s="1">
        <v>24</v>
      </c>
      <c r="I244" s="1">
        <v>84.8</v>
      </c>
      <c r="J244" s="1">
        <v>1.87</v>
      </c>
      <c r="K244" s="1">
        <v>0</v>
      </c>
      <c r="L244" s="1">
        <v>3.5</v>
      </c>
      <c r="M244" s="1">
        <v>828219.67</v>
      </c>
      <c r="N244" s="1">
        <v>179806.87</v>
      </c>
    </row>
    <row r="245" spans="1:14">
      <c r="A245" s="1" t="s">
        <v>82</v>
      </c>
      <c r="B245" s="3">
        <v>45748</v>
      </c>
      <c r="C245" s="1" t="s">
        <v>24</v>
      </c>
      <c r="D245" s="1" t="s">
        <v>21</v>
      </c>
      <c r="E245" s="1">
        <v>53546.34</v>
      </c>
      <c r="F245" s="1">
        <v>8004</v>
      </c>
      <c r="G245" s="1">
        <v>0</v>
      </c>
      <c r="H245" s="1">
        <v>21</v>
      </c>
      <c r="I245" s="1">
        <v>95.2</v>
      </c>
      <c r="J245" s="1">
        <v>2.83</v>
      </c>
      <c r="K245" s="1">
        <v>0</v>
      </c>
      <c r="L245" s="1">
        <v>3</v>
      </c>
      <c r="M245" s="1">
        <v>763159.92</v>
      </c>
      <c r="N245" s="1">
        <v>177104.87</v>
      </c>
    </row>
    <row r="246" spans="1:14">
      <c r="A246" s="1" t="s">
        <v>83</v>
      </c>
      <c r="B246" s="3">
        <v>45658</v>
      </c>
      <c r="C246" s="1" t="s">
        <v>15</v>
      </c>
      <c r="D246" s="1" t="s">
        <v>18</v>
      </c>
      <c r="E246" s="1">
        <v>76942.2</v>
      </c>
      <c r="F246" s="1">
        <v>8934</v>
      </c>
      <c r="G246" s="1">
        <v>8.4000000000000005E-2</v>
      </c>
      <c r="H246" s="1">
        <v>20</v>
      </c>
      <c r="I246" s="1">
        <v>91</v>
      </c>
      <c r="J246" s="1">
        <v>0.95</v>
      </c>
      <c r="K246" s="1">
        <v>0</v>
      </c>
      <c r="L246" s="1">
        <v>3.2</v>
      </c>
      <c r="M246" s="1">
        <v>802001.68</v>
      </c>
      <c r="N246" s="1">
        <v>159715.82</v>
      </c>
    </row>
    <row r="247" spans="1:14">
      <c r="A247" s="1" t="s">
        <v>83</v>
      </c>
      <c r="B247" s="3">
        <v>45689</v>
      </c>
      <c r="C247" s="1" t="s">
        <v>15</v>
      </c>
      <c r="D247" s="1" t="s">
        <v>18</v>
      </c>
      <c r="E247" s="1">
        <v>48060.78</v>
      </c>
      <c r="F247" s="1">
        <v>8733</v>
      </c>
      <c r="G247" s="1">
        <v>0</v>
      </c>
      <c r="H247" s="1">
        <v>20</v>
      </c>
      <c r="I247" s="1">
        <v>89.9</v>
      </c>
      <c r="J247" s="1">
        <v>0.8</v>
      </c>
      <c r="K247" s="1">
        <v>0</v>
      </c>
      <c r="L247" s="1">
        <v>3.4</v>
      </c>
      <c r="M247" s="1">
        <v>750471.34</v>
      </c>
      <c r="N247" s="1">
        <v>133788.04</v>
      </c>
    </row>
    <row r="248" spans="1:14">
      <c r="A248" s="1" t="s">
        <v>83</v>
      </c>
      <c r="B248" s="3">
        <v>45717</v>
      </c>
      <c r="C248" s="1" t="s">
        <v>15</v>
      </c>
      <c r="D248" s="1" t="s">
        <v>18</v>
      </c>
      <c r="E248" s="1">
        <v>57390.04</v>
      </c>
      <c r="F248" s="1">
        <v>7374</v>
      </c>
      <c r="G248" s="1">
        <v>0.21</v>
      </c>
      <c r="H248" s="1">
        <v>21</v>
      </c>
      <c r="I248" s="1">
        <v>91.8</v>
      </c>
      <c r="J248" s="1">
        <v>0.2</v>
      </c>
      <c r="K248" s="1">
        <v>0</v>
      </c>
      <c r="L248" s="1">
        <v>3.1</v>
      </c>
      <c r="M248" s="1">
        <v>679230.86</v>
      </c>
      <c r="N248" s="1">
        <v>106927.58</v>
      </c>
    </row>
    <row r="249" spans="1:14">
      <c r="A249" s="1" t="s">
        <v>83</v>
      </c>
      <c r="B249" s="3">
        <v>45748</v>
      </c>
      <c r="C249" s="1" t="s">
        <v>15</v>
      </c>
      <c r="D249" s="1" t="s">
        <v>18</v>
      </c>
      <c r="E249" s="1">
        <v>21536.18</v>
      </c>
      <c r="F249" s="1">
        <v>8119</v>
      </c>
      <c r="G249" s="1">
        <v>0.22700000000000001</v>
      </c>
      <c r="H249" s="1">
        <v>20</v>
      </c>
      <c r="I249" s="1">
        <v>90.4</v>
      </c>
      <c r="J249" s="1">
        <v>1.7</v>
      </c>
      <c r="K249" s="1">
        <v>0</v>
      </c>
      <c r="L249" s="1">
        <v>3.3</v>
      </c>
      <c r="M249" s="1">
        <v>679888.74</v>
      </c>
      <c r="N249" s="1">
        <v>83406.89</v>
      </c>
    </row>
    <row r="250" spans="1:14">
      <c r="A250" s="1" t="s">
        <v>84</v>
      </c>
      <c r="B250" s="3">
        <v>45658</v>
      </c>
      <c r="C250" s="1" t="s">
        <v>20</v>
      </c>
      <c r="D250" s="1" t="s">
        <v>18</v>
      </c>
      <c r="E250" s="1">
        <v>40923.67</v>
      </c>
      <c r="F250" s="1">
        <v>3875</v>
      </c>
      <c r="G250" s="1">
        <v>0.15</v>
      </c>
      <c r="H250" s="1">
        <v>10</v>
      </c>
      <c r="I250" s="1">
        <v>96.1</v>
      </c>
      <c r="J250" s="1"/>
      <c r="K250" s="1">
        <v>0</v>
      </c>
      <c r="L250" s="1">
        <v>3.8</v>
      </c>
      <c r="M250" s="1">
        <v>606783.67000000004</v>
      </c>
      <c r="N250" s="1">
        <v>74515.87</v>
      </c>
    </row>
    <row r="251" spans="1:14">
      <c r="A251" s="1" t="s">
        <v>84</v>
      </c>
      <c r="B251" s="3">
        <v>45689</v>
      </c>
      <c r="C251" s="1" t="s">
        <v>20</v>
      </c>
      <c r="D251" s="1" t="s">
        <v>18</v>
      </c>
      <c r="E251" s="1">
        <v>72932.55</v>
      </c>
      <c r="F251" s="1">
        <v>5765</v>
      </c>
      <c r="G251" s="1">
        <v>2.5999999999999999E-2</v>
      </c>
      <c r="H251" s="1">
        <v>17</v>
      </c>
      <c r="I251" s="1">
        <v>81.8</v>
      </c>
      <c r="J251" s="1">
        <v>5.0999999999999996</v>
      </c>
      <c r="K251" s="1">
        <v>0</v>
      </c>
      <c r="L251" s="1">
        <v>3.6</v>
      </c>
      <c r="M251" s="1">
        <v>642751.42000000004</v>
      </c>
      <c r="N251" s="1">
        <v>131942.15</v>
      </c>
    </row>
    <row r="252" spans="1:14">
      <c r="A252" s="1" t="s">
        <v>84</v>
      </c>
      <c r="B252" s="3">
        <v>45717</v>
      </c>
      <c r="C252" s="1" t="s">
        <v>20</v>
      </c>
      <c r="D252" s="1" t="s">
        <v>18</v>
      </c>
      <c r="E252" s="1">
        <v>38361.93</v>
      </c>
      <c r="F252" s="1">
        <v>6322</v>
      </c>
      <c r="G252" s="1">
        <v>0.27300000000000002</v>
      </c>
      <c r="H252" s="1">
        <v>15</v>
      </c>
      <c r="I252" s="1">
        <v>88.4</v>
      </c>
      <c r="J252" s="1">
        <v>0.83</v>
      </c>
      <c r="K252" s="1">
        <v>0</v>
      </c>
      <c r="L252" s="1">
        <v>4</v>
      </c>
      <c r="M252" s="1">
        <v>647953.78</v>
      </c>
      <c r="N252" s="1">
        <v>118497.43</v>
      </c>
    </row>
    <row r="253" spans="1:14">
      <c r="A253" s="1" t="s">
        <v>84</v>
      </c>
      <c r="B253" s="3">
        <v>45748</v>
      </c>
      <c r="C253" s="1" t="s">
        <v>20</v>
      </c>
      <c r="D253" s="1" t="s">
        <v>18</v>
      </c>
      <c r="E253" s="1">
        <v>97480.94</v>
      </c>
      <c r="F253" s="1">
        <v>6840</v>
      </c>
      <c r="G253" s="1">
        <v>8.6999999999999994E-2</v>
      </c>
      <c r="H253" s="1">
        <v>14</v>
      </c>
      <c r="I253" s="1">
        <v>79.2</v>
      </c>
      <c r="J253" s="1">
        <v>1.1399999999999999</v>
      </c>
      <c r="K253" s="1">
        <v>0</v>
      </c>
      <c r="L253" s="1">
        <v>4</v>
      </c>
      <c r="M253" s="1">
        <v>729440.45</v>
      </c>
      <c r="N253" s="1">
        <v>87614.29</v>
      </c>
    </row>
    <row r="254" spans="1:14">
      <c r="A254" s="1" t="s">
        <v>85</v>
      </c>
      <c r="B254" s="3">
        <v>45658</v>
      </c>
      <c r="C254" s="1" t="s">
        <v>24</v>
      </c>
      <c r="D254" s="1" t="s">
        <v>21</v>
      </c>
      <c r="E254" s="1">
        <v>81801.8</v>
      </c>
      <c r="F254" s="1">
        <v>6782</v>
      </c>
      <c r="G254" s="1">
        <v>0.05</v>
      </c>
      <c r="H254" s="1">
        <v>16</v>
      </c>
      <c r="I254" s="1">
        <v>99</v>
      </c>
      <c r="J254" s="1">
        <v>9.5399999999999991</v>
      </c>
      <c r="K254" s="1">
        <v>0</v>
      </c>
      <c r="L254" s="1">
        <v>3.7</v>
      </c>
      <c r="M254" s="1">
        <v>764949</v>
      </c>
      <c r="N254" s="1">
        <v>148322.43</v>
      </c>
    </row>
    <row r="255" spans="1:14">
      <c r="A255" s="1" t="s">
        <v>85</v>
      </c>
      <c r="B255" s="3">
        <v>45689</v>
      </c>
      <c r="C255" s="1" t="s">
        <v>24</v>
      </c>
      <c r="D255" s="1" t="s">
        <v>21</v>
      </c>
      <c r="E255" s="1">
        <v>63582.11</v>
      </c>
      <c r="F255" s="1">
        <v>6856</v>
      </c>
      <c r="G255" s="1">
        <v>7.3999999999999996E-2</v>
      </c>
      <c r="H255" s="1">
        <v>17</v>
      </c>
      <c r="I255" s="1">
        <v>89.5</v>
      </c>
      <c r="J255" s="1">
        <v>5.48</v>
      </c>
      <c r="K255" s="1">
        <v>0</v>
      </c>
      <c r="L255" s="1">
        <v>3.2</v>
      </c>
      <c r="M255" s="1">
        <v>799046.94</v>
      </c>
      <c r="N255" s="1">
        <v>144553.64000000001</v>
      </c>
    </row>
    <row r="256" spans="1:14">
      <c r="A256" s="1" t="s">
        <v>85</v>
      </c>
      <c r="B256" s="3">
        <v>45717</v>
      </c>
      <c r="C256" s="1" t="s">
        <v>24</v>
      </c>
      <c r="D256" s="1" t="s">
        <v>21</v>
      </c>
      <c r="E256" s="1">
        <v>75412.740000000005</v>
      </c>
      <c r="F256" s="1">
        <v>5641</v>
      </c>
      <c r="G256" s="1">
        <v>5.8999999999999997E-2</v>
      </c>
      <c r="H256" s="1">
        <v>13</v>
      </c>
      <c r="I256" s="1">
        <v>87.9</v>
      </c>
      <c r="J256" s="1">
        <v>0.84</v>
      </c>
      <c r="K256" s="1">
        <v>0</v>
      </c>
      <c r="L256" s="1">
        <v>3.6</v>
      </c>
      <c r="M256" s="1">
        <v>720079.54</v>
      </c>
      <c r="N256" s="1">
        <v>119499.47</v>
      </c>
    </row>
    <row r="257" spans="1:14">
      <c r="A257" s="1" t="s">
        <v>85</v>
      </c>
      <c r="B257" s="3">
        <v>45748</v>
      </c>
      <c r="C257" s="1" t="s">
        <v>24</v>
      </c>
      <c r="D257" s="1" t="s">
        <v>21</v>
      </c>
      <c r="E257" s="1">
        <v>36290.080000000002</v>
      </c>
      <c r="F257" s="1">
        <v>5787</v>
      </c>
      <c r="G257" s="1">
        <v>0</v>
      </c>
      <c r="H257" s="1">
        <v>17</v>
      </c>
      <c r="I257" s="1">
        <v>88.3</v>
      </c>
      <c r="J257" s="1">
        <v>4.1900000000000004</v>
      </c>
      <c r="K257" s="1">
        <v>0</v>
      </c>
      <c r="L257" s="1">
        <v>4.0999999999999996</v>
      </c>
      <c r="M257" s="1">
        <v>612390.14</v>
      </c>
      <c r="N257" s="1">
        <v>108985.74</v>
      </c>
    </row>
    <row r="258" spans="1:14">
      <c r="A258" s="1" t="s">
        <v>86</v>
      </c>
      <c r="B258" s="3">
        <v>45658</v>
      </c>
      <c r="C258" s="1" t="s">
        <v>24</v>
      </c>
      <c r="D258" s="1" t="s">
        <v>28</v>
      </c>
      <c r="E258" s="1">
        <v>65272.58</v>
      </c>
      <c r="F258" s="1">
        <v>8165</v>
      </c>
      <c r="G258" s="1">
        <v>5.0999999999999997E-2</v>
      </c>
      <c r="H258" s="1">
        <v>19</v>
      </c>
      <c r="I258" s="1">
        <v>87.8</v>
      </c>
      <c r="J258" s="1">
        <v>1.26</v>
      </c>
      <c r="K258" s="1">
        <v>1</v>
      </c>
      <c r="L258" s="1">
        <v>4.3</v>
      </c>
      <c r="M258" s="1">
        <v>840108.12</v>
      </c>
      <c r="N258" s="1">
        <v>126587.01</v>
      </c>
    </row>
    <row r="259" spans="1:14">
      <c r="A259" s="1" t="s">
        <v>86</v>
      </c>
      <c r="B259" s="3">
        <v>45689</v>
      </c>
      <c r="C259" s="1" t="s">
        <v>24</v>
      </c>
      <c r="D259" s="1" t="s">
        <v>28</v>
      </c>
      <c r="E259" s="1">
        <v>28670.43</v>
      </c>
      <c r="F259" s="1">
        <v>7574</v>
      </c>
      <c r="G259" s="1">
        <v>0.114</v>
      </c>
      <c r="H259" s="1">
        <v>19</v>
      </c>
      <c r="I259" s="1">
        <v>82.7</v>
      </c>
      <c r="J259" s="1">
        <v>2.74</v>
      </c>
      <c r="K259" s="1">
        <v>0</v>
      </c>
      <c r="L259" s="1">
        <v>4.5999999999999996</v>
      </c>
      <c r="M259" s="1">
        <v>697888.09</v>
      </c>
      <c r="N259" s="1">
        <v>116249.87</v>
      </c>
    </row>
    <row r="260" spans="1:14">
      <c r="A260" s="1" t="s">
        <v>86</v>
      </c>
      <c r="B260" s="3">
        <v>45717</v>
      </c>
      <c r="C260" s="1" t="s">
        <v>24</v>
      </c>
      <c r="D260" s="1" t="s">
        <v>28</v>
      </c>
      <c r="E260" s="1">
        <v>44189.34</v>
      </c>
      <c r="F260" s="1">
        <v>8634</v>
      </c>
      <c r="G260" s="1">
        <v>0.14299999999999999</v>
      </c>
      <c r="H260" s="1">
        <v>19</v>
      </c>
      <c r="I260" s="1">
        <v>87.5</v>
      </c>
      <c r="J260" s="1">
        <v>3.69</v>
      </c>
      <c r="K260" s="1">
        <v>0</v>
      </c>
      <c r="L260" s="1">
        <v>4.4000000000000004</v>
      </c>
      <c r="M260" s="1">
        <v>746115.59</v>
      </c>
      <c r="N260" s="1">
        <v>94662.96</v>
      </c>
    </row>
    <row r="261" spans="1:14">
      <c r="A261" s="1" t="s">
        <v>86</v>
      </c>
      <c r="B261" s="3">
        <v>45748</v>
      </c>
      <c r="C261" s="1" t="s">
        <v>24</v>
      </c>
      <c r="D261" s="1" t="s">
        <v>28</v>
      </c>
      <c r="E261" s="1">
        <v>38397.82</v>
      </c>
      <c r="F261" s="1">
        <v>7836</v>
      </c>
      <c r="G261" s="1">
        <v>7.0000000000000001E-3</v>
      </c>
      <c r="H261" s="1">
        <v>21</v>
      </c>
      <c r="I261" s="1">
        <v>92.2</v>
      </c>
      <c r="J261" s="1">
        <v>1.82</v>
      </c>
      <c r="K261" s="1">
        <v>0</v>
      </c>
      <c r="L261" s="1">
        <v>3.6</v>
      </c>
      <c r="M261" s="1">
        <v>776110.32</v>
      </c>
      <c r="N261" s="1">
        <v>139676.21</v>
      </c>
    </row>
    <row r="262" spans="1:14">
      <c r="A262" s="1" t="s">
        <v>87</v>
      </c>
      <c r="B262" s="3">
        <v>45658</v>
      </c>
      <c r="C262" s="1" t="s">
        <v>27</v>
      </c>
      <c r="D262" s="1" t="s">
        <v>18</v>
      </c>
      <c r="E262" s="1">
        <v>14519.37</v>
      </c>
      <c r="F262" s="1">
        <v>3047</v>
      </c>
      <c r="G262" s="1">
        <v>0.13500000000000001</v>
      </c>
      <c r="H262" s="1">
        <v>10</v>
      </c>
      <c r="I262" s="1">
        <v>90.3</v>
      </c>
      <c r="J262" s="1">
        <v>6.62</v>
      </c>
      <c r="K262" s="1">
        <v>0</v>
      </c>
      <c r="L262" s="1">
        <v>4.2</v>
      </c>
      <c r="M262" s="1">
        <v>528852.62</v>
      </c>
      <c r="N262" s="1">
        <v>68426.210000000006</v>
      </c>
    </row>
    <row r="263" spans="1:14">
      <c r="A263" s="1" t="s">
        <v>87</v>
      </c>
      <c r="B263" s="3">
        <v>45689</v>
      </c>
      <c r="C263" s="1" t="s">
        <v>27</v>
      </c>
      <c r="D263" s="1" t="s">
        <v>18</v>
      </c>
      <c r="E263" s="1">
        <v>43288.2</v>
      </c>
      <c r="F263" s="1">
        <v>4783</v>
      </c>
      <c r="G263" s="1">
        <v>0.16900000000000001</v>
      </c>
      <c r="H263" s="1">
        <v>13</v>
      </c>
      <c r="I263" s="1">
        <v>87.3</v>
      </c>
      <c r="J263" s="1"/>
      <c r="K263" s="1">
        <v>0</v>
      </c>
      <c r="L263" s="1">
        <v>4.2</v>
      </c>
      <c r="M263" s="1">
        <v>605751.32999999996</v>
      </c>
      <c r="N263" s="1">
        <v>60685.53</v>
      </c>
    </row>
    <row r="264" spans="1:14">
      <c r="A264" s="1" t="s">
        <v>87</v>
      </c>
      <c r="B264" s="3">
        <v>45717</v>
      </c>
      <c r="C264" s="1" t="s">
        <v>27</v>
      </c>
      <c r="D264" s="1" t="s">
        <v>18</v>
      </c>
      <c r="E264" s="1">
        <v>51450.55</v>
      </c>
      <c r="F264" s="1">
        <v>4902</v>
      </c>
      <c r="G264" s="1">
        <v>8.5999999999999993E-2</v>
      </c>
      <c r="H264" s="1">
        <v>11</v>
      </c>
      <c r="I264" s="1">
        <v>83.7</v>
      </c>
      <c r="J264" s="1">
        <v>6.92</v>
      </c>
      <c r="K264" s="1">
        <v>1</v>
      </c>
      <c r="L264" s="1">
        <v>4.2</v>
      </c>
      <c r="M264" s="1">
        <v>677640.65</v>
      </c>
      <c r="N264" s="1">
        <v>111610.89</v>
      </c>
    </row>
    <row r="265" spans="1:14">
      <c r="A265" s="1" t="s">
        <v>87</v>
      </c>
      <c r="B265" s="3">
        <v>45748</v>
      </c>
      <c r="C265" s="1" t="s">
        <v>27</v>
      </c>
      <c r="D265" s="1" t="s">
        <v>18</v>
      </c>
      <c r="E265" s="1">
        <v>58688.26</v>
      </c>
      <c r="F265" s="1">
        <v>4022</v>
      </c>
      <c r="G265" s="1">
        <v>0.217</v>
      </c>
      <c r="H265" s="1">
        <v>12</v>
      </c>
      <c r="I265" s="1">
        <v>93.8</v>
      </c>
      <c r="J265" s="1">
        <v>11.78</v>
      </c>
      <c r="K265" s="1">
        <v>0</v>
      </c>
      <c r="L265" s="1">
        <v>3.7</v>
      </c>
      <c r="M265" s="1">
        <v>636613.23</v>
      </c>
      <c r="N265" s="1">
        <v>78908.350000000006</v>
      </c>
    </row>
    <row r="266" spans="1:14">
      <c r="A266" s="1" t="s">
        <v>88</v>
      </c>
      <c r="B266" s="3">
        <v>45658</v>
      </c>
      <c r="C266" s="1" t="s">
        <v>15</v>
      </c>
      <c r="D266" s="1" t="s">
        <v>18</v>
      </c>
      <c r="E266" s="1">
        <v>58981.91</v>
      </c>
      <c r="F266" s="1">
        <v>7324</v>
      </c>
      <c r="G266" s="1">
        <v>9.4E-2</v>
      </c>
      <c r="H266" s="1">
        <v>15</v>
      </c>
      <c r="I266" s="1">
        <v>95.8</v>
      </c>
      <c r="J266" s="1">
        <v>0.5</v>
      </c>
      <c r="K266" s="1">
        <v>0</v>
      </c>
      <c r="L266" s="1">
        <v>3.5</v>
      </c>
      <c r="M266" s="1">
        <v>708985.19</v>
      </c>
      <c r="N266" s="1">
        <v>125368.16</v>
      </c>
    </row>
    <row r="267" spans="1:14">
      <c r="A267" s="1" t="s">
        <v>88</v>
      </c>
      <c r="B267" s="3">
        <v>45689</v>
      </c>
      <c r="C267" s="1" t="s">
        <v>15</v>
      </c>
      <c r="D267" s="1" t="s">
        <v>18</v>
      </c>
      <c r="E267" s="1">
        <v>73454.539999999994</v>
      </c>
      <c r="F267" s="1">
        <v>8129</v>
      </c>
      <c r="G267" s="1">
        <v>0.21099999999999999</v>
      </c>
      <c r="H267" s="1">
        <v>20</v>
      </c>
      <c r="I267" s="1">
        <v>85.2</v>
      </c>
      <c r="J267" s="1">
        <v>0.88</v>
      </c>
      <c r="K267" s="1">
        <v>0</v>
      </c>
      <c r="L267" s="1">
        <v>3.7</v>
      </c>
      <c r="M267" s="1">
        <v>767792.94</v>
      </c>
      <c r="N267" s="1">
        <v>96235.77</v>
      </c>
    </row>
    <row r="268" spans="1:14">
      <c r="A268" s="1" t="s">
        <v>88</v>
      </c>
      <c r="B268" s="3">
        <v>45717</v>
      </c>
      <c r="C268" s="1" t="s">
        <v>15</v>
      </c>
      <c r="D268" s="1" t="s">
        <v>18</v>
      </c>
      <c r="E268" s="1">
        <v>56602.39</v>
      </c>
      <c r="F268" s="1">
        <v>7969</v>
      </c>
      <c r="G268" s="1">
        <v>0.17</v>
      </c>
      <c r="H268" s="1">
        <v>21</v>
      </c>
      <c r="I268" s="1">
        <v>88.3</v>
      </c>
      <c r="J268" s="1">
        <v>2.25</v>
      </c>
      <c r="K268" s="1">
        <v>0</v>
      </c>
      <c r="L268" s="1">
        <v>3.7</v>
      </c>
      <c r="M268" s="1">
        <v>745580.51</v>
      </c>
      <c r="N268" s="1">
        <v>116273.68</v>
      </c>
    </row>
    <row r="269" spans="1:14">
      <c r="A269" s="1" t="s">
        <v>88</v>
      </c>
      <c r="B269" s="3">
        <v>45748</v>
      </c>
      <c r="C269" s="1" t="s">
        <v>15</v>
      </c>
      <c r="D269" s="1" t="s">
        <v>18</v>
      </c>
      <c r="E269" s="1">
        <v>67722.289999999994</v>
      </c>
      <c r="F269" s="1">
        <v>7240</v>
      </c>
      <c r="G269" s="1">
        <v>2.5999999999999999E-2</v>
      </c>
      <c r="H269" s="1">
        <v>15</v>
      </c>
      <c r="I269" s="1">
        <v>92.9</v>
      </c>
      <c r="J269" s="1">
        <v>0.28999999999999998</v>
      </c>
      <c r="K269" s="1">
        <v>0</v>
      </c>
      <c r="L269" s="1">
        <v>3.5</v>
      </c>
      <c r="M269" s="1">
        <v>762328.31</v>
      </c>
      <c r="N269" s="1">
        <v>159158.19</v>
      </c>
    </row>
    <row r="270" spans="1:14">
      <c r="A270" s="1" t="s">
        <v>89</v>
      </c>
      <c r="B270" s="3">
        <v>45658</v>
      </c>
      <c r="C270" s="1" t="s">
        <v>15</v>
      </c>
      <c r="D270" s="1" t="s">
        <v>28</v>
      </c>
      <c r="E270" s="1">
        <v>48752.92</v>
      </c>
      <c r="F270" s="1">
        <v>8052</v>
      </c>
      <c r="G270" s="1">
        <v>0.106</v>
      </c>
      <c r="H270" s="1">
        <v>16</v>
      </c>
      <c r="I270" s="1">
        <v>94.9</v>
      </c>
      <c r="J270" s="1">
        <v>0.65</v>
      </c>
      <c r="K270" s="1">
        <v>0</v>
      </c>
      <c r="L270" s="1">
        <v>3.6</v>
      </c>
      <c r="M270" s="1">
        <v>660633.99</v>
      </c>
      <c r="N270" s="1">
        <v>118768.66</v>
      </c>
    </row>
    <row r="271" spans="1:14">
      <c r="A271" s="1" t="s">
        <v>89</v>
      </c>
      <c r="B271" s="3">
        <v>45689</v>
      </c>
      <c r="C271" s="1" t="s">
        <v>15</v>
      </c>
      <c r="D271" s="1" t="s">
        <v>28</v>
      </c>
      <c r="E271" s="1">
        <v>23914.97</v>
      </c>
      <c r="F271" s="1">
        <v>8018</v>
      </c>
      <c r="G271" s="1">
        <v>0.13900000000000001</v>
      </c>
      <c r="H271" s="1">
        <v>20</v>
      </c>
      <c r="I271" s="1">
        <v>89</v>
      </c>
      <c r="J271" s="1">
        <v>0.2</v>
      </c>
      <c r="K271" s="1">
        <v>0</v>
      </c>
      <c r="L271" s="1">
        <v>3.5</v>
      </c>
      <c r="M271" s="1">
        <v>739374.56</v>
      </c>
      <c r="N271" s="1">
        <v>121032.29</v>
      </c>
    </row>
    <row r="272" spans="1:14">
      <c r="A272" s="1" t="s">
        <v>89</v>
      </c>
      <c r="B272" s="3">
        <v>45717</v>
      </c>
      <c r="C272" s="1" t="s">
        <v>15</v>
      </c>
      <c r="D272" s="1" t="s">
        <v>28</v>
      </c>
      <c r="E272" s="1">
        <v>61995.3</v>
      </c>
      <c r="F272" s="1">
        <v>10192</v>
      </c>
      <c r="G272" s="1">
        <v>0.19800000000000001</v>
      </c>
      <c r="H272" s="1">
        <v>21</v>
      </c>
      <c r="I272" s="1">
        <v>87.6</v>
      </c>
      <c r="J272" s="1">
        <v>3.63</v>
      </c>
      <c r="K272" s="1">
        <v>1</v>
      </c>
      <c r="L272" s="1">
        <v>3.8</v>
      </c>
      <c r="M272" s="1">
        <v>799756.46</v>
      </c>
      <c r="N272" s="1">
        <v>105052.93</v>
      </c>
    </row>
    <row r="273" spans="1:14">
      <c r="A273" s="1" t="s">
        <v>89</v>
      </c>
      <c r="B273" s="3">
        <v>45748</v>
      </c>
      <c r="C273" s="1" t="s">
        <v>15</v>
      </c>
      <c r="D273" s="1" t="s">
        <v>28</v>
      </c>
      <c r="E273" s="1">
        <v>29344.93</v>
      </c>
      <c r="F273" s="1">
        <v>7446</v>
      </c>
      <c r="G273" s="1">
        <v>0.111</v>
      </c>
      <c r="H273" s="1">
        <v>15</v>
      </c>
      <c r="I273" s="1">
        <v>86.2</v>
      </c>
      <c r="J273" s="1">
        <v>0.2</v>
      </c>
      <c r="K273" s="1">
        <v>0</v>
      </c>
      <c r="L273" s="1">
        <v>3.2</v>
      </c>
      <c r="M273" s="1">
        <v>593343</v>
      </c>
      <c r="N273" s="1">
        <v>82832.240000000005</v>
      </c>
    </row>
    <row r="274" spans="1:14">
      <c r="A274" s="1" t="s">
        <v>90</v>
      </c>
      <c r="B274" s="3">
        <v>45658</v>
      </c>
      <c r="C274" s="1" t="s">
        <v>27</v>
      </c>
      <c r="D274" s="1" t="s">
        <v>18</v>
      </c>
      <c r="E274" s="1">
        <v>50532.17</v>
      </c>
      <c r="F274" s="1">
        <v>5689</v>
      </c>
      <c r="G274" s="1">
        <v>5.1999999999999998E-2</v>
      </c>
      <c r="H274" s="1">
        <v>17</v>
      </c>
      <c r="I274" s="1">
        <v>85.6</v>
      </c>
      <c r="J274" s="1">
        <v>6.23</v>
      </c>
      <c r="K274" s="1">
        <v>0</v>
      </c>
      <c r="L274" s="1">
        <v>3.3</v>
      </c>
      <c r="M274" s="1">
        <v>645039.97</v>
      </c>
      <c r="N274" s="1">
        <v>83093.33</v>
      </c>
    </row>
    <row r="275" spans="1:14">
      <c r="A275" s="1" t="s">
        <v>90</v>
      </c>
      <c r="B275" s="3">
        <v>45689</v>
      </c>
      <c r="C275" s="1" t="s">
        <v>27</v>
      </c>
      <c r="D275" s="1" t="s">
        <v>18</v>
      </c>
      <c r="E275" s="1">
        <v>17562.57</v>
      </c>
      <c r="F275" s="1">
        <v>3326</v>
      </c>
      <c r="G275" s="1">
        <v>0.153</v>
      </c>
      <c r="H275" s="1">
        <v>14</v>
      </c>
      <c r="I275" s="1">
        <v>88.1</v>
      </c>
      <c r="J275" s="1">
        <v>1.04</v>
      </c>
      <c r="K275" s="1">
        <v>0</v>
      </c>
      <c r="L275" s="1">
        <v>3.1</v>
      </c>
      <c r="M275" s="1">
        <v>561597.32999999996</v>
      </c>
      <c r="N275" s="1">
        <v>75072.75</v>
      </c>
    </row>
    <row r="276" spans="1:14">
      <c r="A276" s="1" t="s">
        <v>90</v>
      </c>
      <c r="B276" s="3">
        <v>45717</v>
      </c>
      <c r="C276" s="1" t="s">
        <v>27</v>
      </c>
      <c r="D276" s="1" t="s">
        <v>18</v>
      </c>
      <c r="E276" s="1">
        <v>47648.71</v>
      </c>
      <c r="F276" s="1">
        <v>5767</v>
      </c>
      <c r="G276" s="1">
        <v>0.14099999999999999</v>
      </c>
      <c r="H276" s="1">
        <v>17</v>
      </c>
      <c r="I276" s="1">
        <v>89.8</v>
      </c>
      <c r="J276" s="1">
        <v>1.76</v>
      </c>
      <c r="K276" s="1">
        <v>0</v>
      </c>
      <c r="L276" s="1">
        <v>3.1</v>
      </c>
      <c r="M276" s="1">
        <v>635837.74</v>
      </c>
      <c r="N276" s="1">
        <v>114740.64</v>
      </c>
    </row>
    <row r="277" spans="1:14">
      <c r="A277" s="1" t="s">
        <v>90</v>
      </c>
      <c r="B277" s="3">
        <v>45748</v>
      </c>
      <c r="C277" s="1" t="s">
        <v>27</v>
      </c>
      <c r="D277" s="1" t="s">
        <v>18</v>
      </c>
      <c r="E277" s="1">
        <v>38297.58</v>
      </c>
      <c r="F277" s="1">
        <v>5893</v>
      </c>
      <c r="G277" s="1">
        <v>0.247</v>
      </c>
      <c r="H277" s="1">
        <v>18</v>
      </c>
      <c r="I277" s="1">
        <v>77.599999999999994</v>
      </c>
      <c r="J277" s="1">
        <v>2.86</v>
      </c>
      <c r="K277" s="1">
        <v>0</v>
      </c>
      <c r="L277" s="1">
        <v>3</v>
      </c>
      <c r="M277" s="1">
        <v>686737.87</v>
      </c>
      <c r="N277" s="1">
        <v>83839.67</v>
      </c>
    </row>
    <row r="278" spans="1:14">
      <c r="A278" s="1" t="s">
        <v>91</v>
      </c>
      <c r="B278" s="3">
        <v>45658</v>
      </c>
      <c r="C278" s="1" t="s">
        <v>24</v>
      </c>
      <c r="D278" s="1" t="s">
        <v>16</v>
      </c>
      <c r="E278" s="1">
        <v>61784.11</v>
      </c>
      <c r="F278" s="1">
        <v>8564</v>
      </c>
      <c r="G278" s="1">
        <v>0.13</v>
      </c>
      <c r="H278" s="1">
        <v>17</v>
      </c>
      <c r="I278" s="1">
        <v>87.4</v>
      </c>
      <c r="J278" s="1">
        <v>18.14</v>
      </c>
      <c r="K278" s="1">
        <v>1</v>
      </c>
      <c r="L278" s="1">
        <v>3.4</v>
      </c>
      <c r="M278" s="1">
        <v>673076.34</v>
      </c>
      <c r="N278" s="1">
        <v>93899.76</v>
      </c>
    </row>
    <row r="279" spans="1:14">
      <c r="A279" s="1" t="s">
        <v>91</v>
      </c>
      <c r="B279" s="3">
        <v>45689</v>
      </c>
      <c r="C279" s="1" t="s">
        <v>24</v>
      </c>
      <c r="D279" s="1" t="s">
        <v>16</v>
      </c>
      <c r="E279" s="1">
        <v>36832.33</v>
      </c>
      <c r="F279" s="1">
        <v>8001</v>
      </c>
      <c r="G279" s="1">
        <v>0</v>
      </c>
      <c r="H279" s="1">
        <v>19</v>
      </c>
      <c r="I279" s="1">
        <v>88.7</v>
      </c>
      <c r="J279" s="1">
        <v>3.39</v>
      </c>
      <c r="K279" s="1">
        <v>0</v>
      </c>
      <c r="L279" s="1">
        <v>4</v>
      </c>
      <c r="M279" s="1">
        <v>738548.42</v>
      </c>
      <c r="N279" s="1">
        <v>134282.76999999999</v>
      </c>
    </row>
    <row r="280" spans="1:14">
      <c r="A280" s="1" t="s">
        <v>91</v>
      </c>
      <c r="B280" s="3">
        <v>45717</v>
      </c>
      <c r="C280" s="1" t="s">
        <v>24</v>
      </c>
      <c r="D280" s="1" t="s">
        <v>16</v>
      </c>
      <c r="E280" s="1">
        <v>48609.41</v>
      </c>
      <c r="F280" s="1">
        <v>9324</v>
      </c>
      <c r="G280" s="1">
        <v>0.21299999999999999</v>
      </c>
      <c r="H280" s="1">
        <v>18</v>
      </c>
      <c r="I280" s="1">
        <v>86.5</v>
      </c>
      <c r="J280" s="1">
        <v>1.44</v>
      </c>
      <c r="K280" s="1">
        <v>0</v>
      </c>
      <c r="L280" s="1">
        <v>3.9</v>
      </c>
      <c r="M280" s="1">
        <v>756619.77</v>
      </c>
      <c r="N280" s="1">
        <v>112057.69</v>
      </c>
    </row>
    <row r="281" spans="1:14">
      <c r="A281" s="1" t="s">
        <v>91</v>
      </c>
      <c r="B281" s="3">
        <v>45748</v>
      </c>
      <c r="C281" s="1" t="s">
        <v>24</v>
      </c>
      <c r="D281" s="1" t="s">
        <v>16</v>
      </c>
      <c r="E281" s="1">
        <v>70284.06</v>
      </c>
      <c r="F281" s="1">
        <v>9109</v>
      </c>
      <c r="G281" s="1">
        <v>4.0000000000000001E-3</v>
      </c>
      <c r="H281" s="1">
        <v>23</v>
      </c>
      <c r="I281" s="1">
        <v>87</v>
      </c>
      <c r="J281" s="1">
        <v>3.65</v>
      </c>
      <c r="K281" s="1">
        <v>0</v>
      </c>
      <c r="L281" s="1">
        <v>3.7</v>
      </c>
      <c r="M281" s="1">
        <v>761122.42</v>
      </c>
      <c r="N281" s="1">
        <v>149802.04</v>
      </c>
    </row>
    <row r="282" spans="1:14">
      <c r="A282" s="1" t="s">
        <v>92</v>
      </c>
      <c r="B282" s="3">
        <v>45658</v>
      </c>
      <c r="C282" s="1" t="s">
        <v>24</v>
      </c>
      <c r="D282" s="1" t="s">
        <v>18</v>
      </c>
      <c r="E282" s="1">
        <v>45940.39</v>
      </c>
      <c r="F282" s="1">
        <v>4022</v>
      </c>
      <c r="G282" s="1">
        <v>6.9000000000000006E-2</v>
      </c>
      <c r="H282" s="1">
        <v>10</v>
      </c>
      <c r="I282" s="1">
        <v>83</v>
      </c>
      <c r="J282" s="1">
        <v>1.23</v>
      </c>
      <c r="K282" s="1">
        <v>1</v>
      </c>
      <c r="L282" s="1">
        <v>3.8</v>
      </c>
      <c r="M282" s="1">
        <v>524899.56999999995</v>
      </c>
      <c r="N282" s="1">
        <v>63619.98</v>
      </c>
    </row>
    <row r="283" spans="1:14">
      <c r="A283" s="1" t="s">
        <v>92</v>
      </c>
      <c r="B283" s="3">
        <v>45689</v>
      </c>
      <c r="C283" s="1" t="s">
        <v>24</v>
      </c>
      <c r="D283" s="1" t="s">
        <v>18</v>
      </c>
      <c r="E283" s="1">
        <v>34771.26</v>
      </c>
      <c r="F283" s="1">
        <v>4355</v>
      </c>
      <c r="G283" s="1">
        <v>5.0999999999999997E-2</v>
      </c>
      <c r="H283" s="1">
        <v>15</v>
      </c>
      <c r="I283" s="1">
        <v>87.9</v>
      </c>
      <c r="J283" s="1">
        <v>3.09</v>
      </c>
      <c r="K283" s="1">
        <v>0</v>
      </c>
      <c r="L283" s="1">
        <v>4</v>
      </c>
      <c r="M283" s="1">
        <v>555557.77</v>
      </c>
      <c r="N283" s="1">
        <v>86475.51</v>
      </c>
    </row>
    <row r="284" spans="1:14">
      <c r="A284" s="1" t="s">
        <v>92</v>
      </c>
      <c r="B284" s="3">
        <v>45717</v>
      </c>
      <c r="C284" s="1" t="s">
        <v>24</v>
      </c>
      <c r="D284" s="1" t="s">
        <v>18</v>
      </c>
      <c r="E284" s="1">
        <v>66104.19</v>
      </c>
      <c r="F284" s="1">
        <v>5745</v>
      </c>
      <c r="G284" s="1">
        <v>7.0000000000000007E-2</v>
      </c>
      <c r="H284" s="1">
        <v>17</v>
      </c>
      <c r="I284" s="1">
        <v>95.8</v>
      </c>
      <c r="J284" s="1">
        <v>3.15</v>
      </c>
      <c r="K284" s="1">
        <v>0</v>
      </c>
      <c r="L284" s="1">
        <v>4</v>
      </c>
      <c r="M284" s="1">
        <v>714083.68</v>
      </c>
      <c r="N284" s="1">
        <v>127231.74</v>
      </c>
    </row>
    <row r="285" spans="1:14">
      <c r="A285" s="1" t="s">
        <v>92</v>
      </c>
      <c r="B285" s="3">
        <v>45748</v>
      </c>
      <c r="C285" s="1" t="s">
        <v>24</v>
      </c>
      <c r="D285" s="1" t="s">
        <v>18</v>
      </c>
      <c r="E285" s="1">
        <v>18599.21</v>
      </c>
      <c r="F285" s="1">
        <v>3027</v>
      </c>
      <c r="G285" s="1">
        <v>0.122</v>
      </c>
      <c r="H285" s="1">
        <v>11</v>
      </c>
      <c r="I285" s="1">
        <v>80.900000000000006</v>
      </c>
      <c r="J285" s="1">
        <v>6.44</v>
      </c>
      <c r="K285" s="1">
        <v>0</v>
      </c>
      <c r="L285" s="1">
        <v>4.2</v>
      </c>
      <c r="M285" s="1">
        <v>497439.82</v>
      </c>
      <c r="N285" s="1">
        <v>93372.75</v>
      </c>
    </row>
    <row r="286" spans="1:14">
      <c r="A286" s="1" t="s">
        <v>93</v>
      </c>
      <c r="B286" s="3">
        <v>45658</v>
      </c>
      <c r="C286" s="1" t="s">
        <v>27</v>
      </c>
      <c r="D286" s="1" t="s">
        <v>16</v>
      </c>
      <c r="E286" s="1">
        <v>60183.06</v>
      </c>
      <c r="F286" s="1">
        <v>5562</v>
      </c>
      <c r="G286" s="1">
        <v>8.9999999999999993E-3</v>
      </c>
      <c r="H286" s="1">
        <v>13</v>
      </c>
      <c r="I286" s="1">
        <v>86.3</v>
      </c>
      <c r="J286" s="1">
        <v>0.2</v>
      </c>
      <c r="K286" s="1">
        <v>1</v>
      </c>
      <c r="L286" s="1">
        <v>4.5</v>
      </c>
      <c r="M286" s="1">
        <v>636775.66</v>
      </c>
      <c r="N286" s="1">
        <v>122636.86</v>
      </c>
    </row>
    <row r="287" spans="1:14">
      <c r="A287" s="1" t="s">
        <v>93</v>
      </c>
      <c r="B287" s="3">
        <v>45689</v>
      </c>
      <c r="C287" s="1" t="s">
        <v>27</v>
      </c>
      <c r="D287" s="1" t="s">
        <v>16</v>
      </c>
      <c r="E287" s="1">
        <v>74539.14</v>
      </c>
      <c r="F287" s="1">
        <v>4487</v>
      </c>
      <c r="G287" s="1">
        <v>0.14000000000000001</v>
      </c>
      <c r="H287" s="1">
        <v>10</v>
      </c>
      <c r="I287" s="1">
        <v>90.4</v>
      </c>
      <c r="J287" s="1">
        <v>0.59</v>
      </c>
      <c r="K287" s="1">
        <v>0</v>
      </c>
      <c r="L287" s="1">
        <v>4.5</v>
      </c>
      <c r="M287" s="1">
        <v>633009.53</v>
      </c>
      <c r="N287" s="1">
        <v>123782.67</v>
      </c>
    </row>
    <row r="288" spans="1:14">
      <c r="A288" s="1" t="s">
        <v>93</v>
      </c>
      <c r="B288" s="3">
        <v>45717</v>
      </c>
      <c r="C288" s="1" t="s">
        <v>27</v>
      </c>
      <c r="D288" s="1" t="s">
        <v>16</v>
      </c>
      <c r="E288" s="1">
        <v>55371.97</v>
      </c>
      <c r="F288" s="1">
        <v>4162</v>
      </c>
      <c r="G288" s="1">
        <v>0.183</v>
      </c>
      <c r="H288" s="1">
        <v>11</v>
      </c>
      <c r="I288" s="1">
        <v>92</v>
      </c>
      <c r="J288" s="1">
        <v>0.2</v>
      </c>
      <c r="K288" s="1">
        <v>1</v>
      </c>
      <c r="L288" s="1">
        <v>4.2</v>
      </c>
      <c r="M288" s="1">
        <v>609949</v>
      </c>
      <c r="N288" s="1">
        <v>126789.25</v>
      </c>
    </row>
    <row r="289" spans="1:14">
      <c r="A289" s="1" t="s">
        <v>93</v>
      </c>
      <c r="B289" s="3">
        <v>45748</v>
      </c>
      <c r="C289" s="1" t="s">
        <v>27</v>
      </c>
      <c r="D289" s="1" t="s">
        <v>16</v>
      </c>
      <c r="E289" s="1">
        <v>40928.69</v>
      </c>
      <c r="F289" s="1">
        <v>4094</v>
      </c>
      <c r="G289" s="1">
        <v>0.17399999999999999</v>
      </c>
      <c r="H289" s="1">
        <v>13</v>
      </c>
      <c r="I289" s="1">
        <v>82.4</v>
      </c>
      <c r="J289" s="1">
        <v>1.36</v>
      </c>
      <c r="K289" s="1">
        <v>0</v>
      </c>
      <c r="L289" s="1">
        <v>4.8</v>
      </c>
      <c r="M289" s="1">
        <v>548103.69999999995</v>
      </c>
      <c r="N289" s="1">
        <v>99905.52</v>
      </c>
    </row>
    <row r="290" spans="1:14">
      <c r="A290" s="1" t="s">
        <v>94</v>
      </c>
      <c r="B290" s="3">
        <v>45658</v>
      </c>
      <c r="C290" s="1" t="s">
        <v>15</v>
      </c>
      <c r="D290" s="1" t="s">
        <v>16</v>
      </c>
      <c r="E290" s="1">
        <v>70012.41</v>
      </c>
      <c r="F290" s="1">
        <v>8484</v>
      </c>
      <c r="G290" s="1">
        <v>0.27300000000000002</v>
      </c>
      <c r="H290" s="1">
        <v>23</v>
      </c>
      <c r="I290" s="1">
        <v>72.900000000000006</v>
      </c>
      <c r="J290" s="1">
        <v>3.34</v>
      </c>
      <c r="K290" s="1">
        <v>0</v>
      </c>
      <c r="L290" s="1">
        <v>3.7</v>
      </c>
      <c r="M290" s="1">
        <v>729424.42</v>
      </c>
      <c r="N290" s="1">
        <v>75592.28</v>
      </c>
    </row>
    <row r="291" spans="1:14">
      <c r="A291" s="1" t="s">
        <v>94</v>
      </c>
      <c r="B291" s="3">
        <v>45689</v>
      </c>
      <c r="C291" s="1" t="s">
        <v>15</v>
      </c>
      <c r="D291" s="1" t="s">
        <v>16</v>
      </c>
      <c r="E291" s="1">
        <v>68909.259999999995</v>
      </c>
      <c r="F291" s="1">
        <v>7794</v>
      </c>
      <c r="G291" s="1">
        <v>0.28399999999999997</v>
      </c>
      <c r="H291" s="1">
        <v>22</v>
      </c>
      <c r="I291" s="1">
        <v>89</v>
      </c>
      <c r="J291" s="1">
        <v>0.33</v>
      </c>
      <c r="K291" s="1">
        <v>0</v>
      </c>
      <c r="L291" s="1">
        <v>4</v>
      </c>
      <c r="M291" s="1">
        <v>696261.49</v>
      </c>
      <c r="N291" s="1">
        <v>72455.350000000006</v>
      </c>
    </row>
    <row r="292" spans="1:14">
      <c r="A292" s="1" t="s">
        <v>94</v>
      </c>
      <c r="B292" s="3">
        <v>45717</v>
      </c>
      <c r="C292" s="1" t="s">
        <v>15</v>
      </c>
      <c r="D292" s="1" t="s">
        <v>16</v>
      </c>
      <c r="E292" s="1">
        <v>56737.3</v>
      </c>
      <c r="F292" s="1">
        <v>8300</v>
      </c>
      <c r="G292" s="1">
        <v>3.2000000000000001E-2</v>
      </c>
      <c r="H292" s="1">
        <v>21</v>
      </c>
      <c r="I292" s="1">
        <v>83.2</v>
      </c>
      <c r="J292" s="1">
        <v>3.44</v>
      </c>
      <c r="K292" s="1">
        <v>1</v>
      </c>
      <c r="L292" s="1">
        <v>4.3</v>
      </c>
      <c r="M292" s="1">
        <v>813316.71</v>
      </c>
      <c r="N292" s="1">
        <v>110077.42</v>
      </c>
    </row>
    <row r="293" spans="1:14">
      <c r="A293" s="1" t="s">
        <v>94</v>
      </c>
      <c r="B293" s="3">
        <v>45748</v>
      </c>
      <c r="C293" s="1" t="s">
        <v>15</v>
      </c>
      <c r="D293" s="1" t="s">
        <v>16</v>
      </c>
      <c r="E293" s="1">
        <v>54080.91</v>
      </c>
      <c r="F293" s="1">
        <v>7083</v>
      </c>
      <c r="G293" s="1">
        <v>0</v>
      </c>
      <c r="H293" s="1">
        <v>15</v>
      </c>
      <c r="I293" s="1">
        <v>97</v>
      </c>
      <c r="J293" s="1">
        <v>5.33</v>
      </c>
      <c r="K293" s="1">
        <v>0</v>
      </c>
      <c r="L293" s="1">
        <v>4.0999999999999996</v>
      </c>
      <c r="M293" s="1">
        <v>702068.92</v>
      </c>
      <c r="N293" s="1">
        <v>111266.63</v>
      </c>
    </row>
    <row r="294" spans="1:14">
      <c r="A294" s="1" t="s">
        <v>95</v>
      </c>
      <c r="B294" s="3">
        <v>45658</v>
      </c>
      <c r="C294" s="1" t="s">
        <v>27</v>
      </c>
      <c r="D294" s="1" t="s">
        <v>18</v>
      </c>
      <c r="E294" s="1">
        <v>51996.32</v>
      </c>
      <c r="F294" s="1">
        <v>3834</v>
      </c>
      <c r="G294" s="1">
        <v>9.6000000000000002E-2</v>
      </c>
      <c r="H294" s="1">
        <v>8</v>
      </c>
      <c r="I294" s="1">
        <v>86.7</v>
      </c>
      <c r="J294" s="1">
        <v>6.04</v>
      </c>
      <c r="K294" s="1">
        <v>0</v>
      </c>
      <c r="L294" s="1">
        <v>4.5</v>
      </c>
      <c r="M294" s="1">
        <v>546223.69999999995</v>
      </c>
      <c r="N294" s="1">
        <v>100769.17</v>
      </c>
    </row>
    <row r="295" spans="1:14">
      <c r="A295" s="1" t="s">
        <v>95</v>
      </c>
      <c r="B295" s="3">
        <v>45689</v>
      </c>
      <c r="C295" s="1" t="s">
        <v>27</v>
      </c>
      <c r="D295" s="1" t="s">
        <v>18</v>
      </c>
      <c r="E295" s="1">
        <v>40102.879999999997</v>
      </c>
      <c r="F295" s="1">
        <v>2358</v>
      </c>
      <c r="G295" s="1">
        <v>0.11899999999999999</v>
      </c>
      <c r="H295" s="1">
        <v>9</v>
      </c>
      <c r="I295" s="1">
        <v>88.7</v>
      </c>
      <c r="J295" s="1">
        <v>1.6</v>
      </c>
      <c r="K295" s="1">
        <v>0</v>
      </c>
      <c r="L295" s="1">
        <v>4.2</v>
      </c>
      <c r="M295" s="1">
        <v>533121.26</v>
      </c>
      <c r="N295" s="1">
        <v>55063.39</v>
      </c>
    </row>
    <row r="296" spans="1:14">
      <c r="A296" s="1" t="s">
        <v>95</v>
      </c>
      <c r="B296" s="3">
        <v>45717</v>
      </c>
      <c r="C296" s="1" t="s">
        <v>27</v>
      </c>
      <c r="D296" s="1" t="s">
        <v>18</v>
      </c>
      <c r="E296" s="1">
        <v>59825.51</v>
      </c>
      <c r="F296" s="1">
        <v>1231</v>
      </c>
      <c r="G296" s="1">
        <v>0.214</v>
      </c>
      <c r="H296" s="1">
        <v>10</v>
      </c>
      <c r="I296" s="1">
        <v>84.8</v>
      </c>
      <c r="J296" s="1">
        <v>8.9600000000000009</v>
      </c>
      <c r="K296" s="1">
        <v>0</v>
      </c>
      <c r="L296" s="1">
        <v>4.7</v>
      </c>
      <c r="M296" s="1">
        <v>498970.32</v>
      </c>
      <c r="N296" s="1">
        <v>69656.7</v>
      </c>
    </row>
    <row r="297" spans="1:14">
      <c r="A297" s="1" t="s">
        <v>95</v>
      </c>
      <c r="B297" s="3">
        <v>45748</v>
      </c>
      <c r="C297" s="1" t="s">
        <v>27</v>
      </c>
      <c r="D297" s="1" t="s">
        <v>18</v>
      </c>
      <c r="E297" s="1">
        <v>27398.28</v>
      </c>
      <c r="F297" s="1">
        <v>1723</v>
      </c>
      <c r="G297" s="1">
        <v>0.17100000000000001</v>
      </c>
      <c r="H297" s="1">
        <v>9</v>
      </c>
      <c r="I297" s="1">
        <v>81</v>
      </c>
      <c r="J297" s="1">
        <v>0.74</v>
      </c>
      <c r="K297" s="1">
        <v>0</v>
      </c>
      <c r="L297" s="1">
        <v>4.5999999999999996</v>
      </c>
      <c r="M297" s="1">
        <v>487738.26</v>
      </c>
      <c r="N297" s="1">
        <v>96435.6</v>
      </c>
    </row>
    <row r="298" spans="1:14">
      <c r="A298" s="1" t="s">
        <v>96</v>
      </c>
      <c r="B298" s="3">
        <v>45658</v>
      </c>
      <c r="C298" s="1" t="s">
        <v>27</v>
      </c>
      <c r="D298" s="1" t="s">
        <v>18</v>
      </c>
      <c r="E298" s="1">
        <v>55599.56</v>
      </c>
      <c r="F298" s="1">
        <v>5896</v>
      </c>
      <c r="G298" s="1">
        <v>3.5999999999999997E-2</v>
      </c>
      <c r="H298" s="1">
        <v>12</v>
      </c>
      <c r="I298" s="1">
        <v>93.1</v>
      </c>
      <c r="J298" s="1">
        <v>6.13</v>
      </c>
      <c r="K298" s="1">
        <v>0</v>
      </c>
      <c r="L298" s="1">
        <v>3.3</v>
      </c>
      <c r="M298" s="1">
        <v>668459.37</v>
      </c>
      <c r="N298" s="1">
        <v>126435.42</v>
      </c>
    </row>
    <row r="299" spans="1:14">
      <c r="A299" s="1" t="s">
        <v>96</v>
      </c>
      <c r="B299" s="3">
        <v>45689</v>
      </c>
      <c r="C299" s="1" t="s">
        <v>27</v>
      </c>
      <c r="D299" s="1" t="s">
        <v>18</v>
      </c>
      <c r="E299" s="1">
        <v>55477.61</v>
      </c>
      <c r="F299" s="1">
        <v>5903</v>
      </c>
      <c r="G299" s="1">
        <v>0.10199999999999999</v>
      </c>
      <c r="H299" s="1">
        <v>14</v>
      </c>
      <c r="I299" s="1">
        <v>96.2</v>
      </c>
      <c r="J299" s="1">
        <v>1.41</v>
      </c>
      <c r="K299" s="1">
        <v>0</v>
      </c>
      <c r="L299" s="1">
        <v>3.3</v>
      </c>
      <c r="M299" s="1">
        <v>763162.45</v>
      </c>
      <c r="N299" s="1">
        <v>162524.04999999999</v>
      </c>
    </row>
    <row r="300" spans="1:14">
      <c r="A300" s="1" t="s">
        <v>96</v>
      </c>
      <c r="B300" s="3">
        <v>45717</v>
      </c>
      <c r="C300" s="1" t="s">
        <v>27</v>
      </c>
      <c r="D300" s="1" t="s">
        <v>18</v>
      </c>
      <c r="E300" s="1">
        <v>46174.7</v>
      </c>
      <c r="F300" s="1">
        <v>4898</v>
      </c>
      <c r="G300" s="1">
        <v>0.114</v>
      </c>
      <c r="H300" s="1">
        <v>11</v>
      </c>
      <c r="I300" s="1">
        <v>91.7</v>
      </c>
      <c r="J300" s="1">
        <v>3.75</v>
      </c>
      <c r="K300" s="1">
        <v>0</v>
      </c>
      <c r="L300" s="1">
        <v>3.1</v>
      </c>
      <c r="M300" s="1">
        <v>599017.32999999996</v>
      </c>
      <c r="N300" s="1">
        <v>134009.92000000001</v>
      </c>
    </row>
    <row r="301" spans="1:14">
      <c r="A301" s="1" t="s">
        <v>96</v>
      </c>
      <c r="B301" s="3">
        <v>45748</v>
      </c>
      <c r="C301" s="1" t="s">
        <v>27</v>
      </c>
      <c r="D301" s="1" t="s">
        <v>18</v>
      </c>
      <c r="E301" s="1">
        <v>24362.98</v>
      </c>
      <c r="F301" s="1">
        <v>1462</v>
      </c>
      <c r="G301" s="1">
        <v>0.11700000000000001</v>
      </c>
      <c r="H301" s="1">
        <v>6</v>
      </c>
      <c r="I301" s="1">
        <v>89.3</v>
      </c>
      <c r="J301" s="1">
        <v>15.06</v>
      </c>
      <c r="K301" s="1">
        <v>0</v>
      </c>
      <c r="L301" s="1">
        <v>3.2</v>
      </c>
      <c r="M301" s="1">
        <v>401582.58</v>
      </c>
      <c r="N301" s="1">
        <v>68454.929999999993</v>
      </c>
    </row>
    <row r="302" spans="1:14">
      <c r="A302" s="1" t="s">
        <v>97</v>
      </c>
      <c r="B302" s="3">
        <v>45658</v>
      </c>
      <c r="C302" s="1" t="s">
        <v>20</v>
      </c>
      <c r="D302" s="1" t="s">
        <v>28</v>
      </c>
      <c r="E302" s="1">
        <v>40647.67</v>
      </c>
      <c r="F302" s="1">
        <v>8252</v>
      </c>
      <c r="G302" s="1">
        <v>0.14099999999999999</v>
      </c>
      <c r="H302" s="1">
        <v>22</v>
      </c>
      <c r="I302" s="1">
        <v>88.2</v>
      </c>
      <c r="J302" s="1">
        <v>5.07</v>
      </c>
      <c r="K302" s="1">
        <v>1</v>
      </c>
      <c r="L302" s="1">
        <v>4.0999999999999996</v>
      </c>
      <c r="M302" s="1">
        <v>703812.99</v>
      </c>
      <c r="N302" s="1">
        <v>133577.98000000001</v>
      </c>
    </row>
    <row r="303" spans="1:14">
      <c r="A303" s="1" t="s">
        <v>97</v>
      </c>
      <c r="B303" s="3">
        <v>45689</v>
      </c>
      <c r="C303" s="1" t="s">
        <v>20</v>
      </c>
      <c r="D303" s="1" t="s">
        <v>28</v>
      </c>
      <c r="E303" s="1">
        <v>63986.98</v>
      </c>
      <c r="F303" s="1">
        <v>7989</v>
      </c>
      <c r="G303" s="1">
        <v>7.3999999999999996E-2</v>
      </c>
      <c r="H303" s="1">
        <v>20</v>
      </c>
      <c r="I303" s="1">
        <v>83.3</v>
      </c>
      <c r="J303" s="1">
        <v>3.6</v>
      </c>
      <c r="K303" s="1">
        <v>0</v>
      </c>
      <c r="L303" s="1">
        <v>3.7</v>
      </c>
      <c r="M303" s="1">
        <v>724346.73</v>
      </c>
      <c r="N303" s="1">
        <v>155013.91</v>
      </c>
    </row>
    <row r="304" spans="1:14">
      <c r="A304" s="1" t="s">
        <v>97</v>
      </c>
      <c r="B304" s="3">
        <v>45717</v>
      </c>
      <c r="C304" s="1" t="s">
        <v>20</v>
      </c>
      <c r="D304" s="1" t="s">
        <v>28</v>
      </c>
      <c r="E304" s="1">
        <v>52843.75</v>
      </c>
      <c r="F304" s="1">
        <v>8268</v>
      </c>
      <c r="G304" s="1">
        <v>0.13800000000000001</v>
      </c>
      <c r="H304" s="1">
        <v>19</v>
      </c>
      <c r="I304" s="1">
        <v>87.3</v>
      </c>
      <c r="J304" s="1">
        <v>4.3899999999999997</v>
      </c>
      <c r="K304" s="1">
        <v>1</v>
      </c>
      <c r="L304" s="1">
        <v>4.7</v>
      </c>
      <c r="M304" s="1">
        <v>730890.01</v>
      </c>
      <c r="N304" s="1">
        <v>105502.56</v>
      </c>
    </row>
    <row r="305" spans="1:14">
      <c r="A305" s="1" t="s">
        <v>97</v>
      </c>
      <c r="B305" s="3">
        <v>45748</v>
      </c>
      <c r="C305" s="1" t="s">
        <v>20</v>
      </c>
      <c r="D305" s="1" t="s">
        <v>28</v>
      </c>
      <c r="E305" s="1">
        <v>31997.25</v>
      </c>
      <c r="F305" s="1">
        <v>8183</v>
      </c>
      <c r="G305" s="1">
        <v>0.19800000000000001</v>
      </c>
      <c r="H305" s="1">
        <v>18</v>
      </c>
      <c r="I305" s="1">
        <v>93</v>
      </c>
      <c r="J305" s="1">
        <v>2.79</v>
      </c>
      <c r="K305" s="1">
        <v>0</v>
      </c>
      <c r="L305" s="1">
        <v>4.2</v>
      </c>
      <c r="M305" s="1">
        <v>780580.95</v>
      </c>
      <c r="N305" s="1">
        <v>138144.46</v>
      </c>
    </row>
    <row r="306" spans="1:14">
      <c r="A306" s="1" t="s">
        <v>98</v>
      </c>
      <c r="B306" s="3">
        <v>45658</v>
      </c>
      <c r="C306" s="1" t="s">
        <v>24</v>
      </c>
      <c r="D306" s="1" t="s">
        <v>16</v>
      </c>
      <c r="E306" s="1">
        <v>54948.02</v>
      </c>
      <c r="F306" s="1">
        <v>6534</v>
      </c>
      <c r="G306" s="1">
        <v>0.183</v>
      </c>
      <c r="H306" s="1">
        <v>14</v>
      </c>
      <c r="I306" s="1">
        <v>94.5</v>
      </c>
      <c r="J306" s="1">
        <v>1.56</v>
      </c>
      <c r="K306" s="1">
        <v>0</v>
      </c>
      <c r="L306" s="1">
        <v>4</v>
      </c>
      <c r="M306" s="1">
        <v>727957.48</v>
      </c>
      <c r="N306" s="1">
        <v>74805.23</v>
      </c>
    </row>
    <row r="307" spans="1:14">
      <c r="A307" s="1" t="s">
        <v>98</v>
      </c>
      <c r="B307" s="3">
        <v>45689</v>
      </c>
      <c r="C307" s="1" t="s">
        <v>24</v>
      </c>
      <c r="D307" s="1" t="s">
        <v>16</v>
      </c>
      <c r="E307" s="1">
        <v>46146.239999999998</v>
      </c>
      <c r="F307" s="1">
        <v>5804</v>
      </c>
      <c r="G307" s="1">
        <v>4.7E-2</v>
      </c>
      <c r="H307" s="1">
        <v>16</v>
      </c>
      <c r="I307" s="1">
        <v>86.9</v>
      </c>
      <c r="J307" s="1">
        <v>15.82</v>
      </c>
      <c r="K307" s="1">
        <v>0</v>
      </c>
      <c r="L307" s="1">
        <v>3.8</v>
      </c>
      <c r="M307" s="1">
        <v>538376</v>
      </c>
      <c r="N307" s="1">
        <v>87605.62</v>
      </c>
    </row>
    <row r="308" spans="1:14">
      <c r="A308" s="1" t="s">
        <v>98</v>
      </c>
      <c r="B308" s="3">
        <v>45717</v>
      </c>
      <c r="C308" s="1" t="s">
        <v>24</v>
      </c>
      <c r="D308" s="1" t="s">
        <v>16</v>
      </c>
      <c r="E308" s="1">
        <v>22387.26</v>
      </c>
      <c r="F308" s="1">
        <v>6301</v>
      </c>
      <c r="G308" s="1">
        <v>0.14599999999999999</v>
      </c>
      <c r="H308" s="1">
        <v>14</v>
      </c>
      <c r="I308" s="1">
        <v>85.9</v>
      </c>
      <c r="J308" s="1">
        <v>1.17</v>
      </c>
      <c r="K308" s="1">
        <v>1</v>
      </c>
      <c r="L308" s="1">
        <v>3.7</v>
      </c>
      <c r="M308" s="1">
        <v>665342.49</v>
      </c>
      <c r="N308" s="1">
        <v>93441.81</v>
      </c>
    </row>
    <row r="309" spans="1:14">
      <c r="A309" s="1" t="s">
        <v>98</v>
      </c>
      <c r="B309" s="3">
        <v>45748</v>
      </c>
      <c r="C309" s="1" t="s">
        <v>24</v>
      </c>
      <c r="D309" s="1" t="s">
        <v>16</v>
      </c>
      <c r="E309" s="1">
        <v>60684.05</v>
      </c>
      <c r="F309" s="1">
        <v>6399</v>
      </c>
      <c r="G309" s="1">
        <v>7.4999999999999997E-2</v>
      </c>
      <c r="H309" s="1">
        <v>16</v>
      </c>
      <c r="I309" s="1">
        <v>99</v>
      </c>
      <c r="J309" s="1">
        <v>3.82</v>
      </c>
      <c r="K309" s="1">
        <v>0</v>
      </c>
      <c r="L309" s="1">
        <v>3.5</v>
      </c>
      <c r="M309" s="1">
        <v>651164.18000000005</v>
      </c>
      <c r="N309" s="1">
        <v>109466.5</v>
      </c>
    </row>
    <row r="310" spans="1:14">
      <c r="A310" s="1" t="s">
        <v>99</v>
      </c>
      <c r="B310" s="3">
        <v>45658</v>
      </c>
      <c r="C310" s="1" t="s">
        <v>24</v>
      </c>
      <c r="D310" s="1" t="s">
        <v>18</v>
      </c>
      <c r="E310" s="1">
        <v>48465.599999999999</v>
      </c>
      <c r="F310" s="1">
        <v>5759</v>
      </c>
      <c r="G310" s="1">
        <v>0.154</v>
      </c>
      <c r="H310" s="1">
        <v>13</v>
      </c>
      <c r="I310" s="1">
        <v>87.5</v>
      </c>
      <c r="J310" s="1">
        <v>4.1399999999999997</v>
      </c>
      <c r="K310" s="1">
        <v>0</v>
      </c>
      <c r="L310" s="1">
        <v>4</v>
      </c>
      <c r="M310" s="1">
        <v>628538.30000000005</v>
      </c>
      <c r="N310" s="1">
        <v>112509.15</v>
      </c>
    </row>
    <row r="311" spans="1:14">
      <c r="A311" s="1" t="s">
        <v>99</v>
      </c>
      <c r="B311" s="3">
        <v>45689</v>
      </c>
      <c r="C311" s="1" t="s">
        <v>24</v>
      </c>
      <c r="D311" s="1" t="s">
        <v>18</v>
      </c>
      <c r="E311" s="1">
        <v>23702.38</v>
      </c>
      <c r="F311" s="1">
        <v>5285</v>
      </c>
      <c r="G311" s="1">
        <v>0.16700000000000001</v>
      </c>
      <c r="H311" s="1">
        <v>14</v>
      </c>
      <c r="I311" s="1">
        <v>79.7</v>
      </c>
      <c r="J311" s="1">
        <v>1.1000000000000001</v>
      </c>
      <c r="K311" s="1">
        <v>0</v>
      </c>
      <c r="L311" s="1">
        <v>4.3</v>
      </c>
      <c r="M311" s="1">
        <v>536524.84</v>
      </c>
      <c r="N311" s="1">
        <v>92752.94</v>
      </c>
    </row>
    <row r="312" spans="1:14">
      <c r="A312" s="1" t="s">
        <v>99</v>
      </c>
      <c r="B312" s="3">
        <v>45717</v>
      </c>
      <c r="C312" s="1" t="s">
        <v>24</v>
      </c>
      <c r="D312" s="1" t="s">
        <v>18</v>
      </c>
      <c r="E312" s="1">
        <v>54322.94</v>
      </c>
      <c r="F312" s="1">
        <v>5434</v>
      </c>
      <c r="G312" s="1">
        <v>0.2</v>
      </c>
      <c r="H312" s="1">
        <v>13</v>
      </c>
      <c r="I312" s="1">
        <v>85.7</v>
      </c>
      <c r="J312" s="1">
        <v>10.6</v>
      </c>
      <c r="K312" s="1">
        <v>0</v>
      </c>
      <c r="L312" s="1">
        <v>4.2</v>
      </c>
      <c r="M312" s="1">
        <v>621677.30000000005</v>
      </c>
      <c r="N312" s="1">
        <v>105192.52</v>
      </c>
    </row>
    <row r="313" spans="1:14">
      <c r="A313" s="1" t="s">
        <v>99</v>
      </c>
      <c r="B313" s="3">
        <v>45748</v>
      </c>
      <c r="C313" s="1" t="s">
        <v>24</v>
      </c>
      <c r="D313" s="1" t="s">
        <v>18</v>
      </c>
      <c r="E313" s="1">
        <v>86026.58</v>
      </c>
      <c r="F313" s="1">
        <v>7479</v>
      </c>
      <c r="G313" s="1">
        <v>0.14199999999999999</v>
      </c>
      <c r="H313" s="1">
        <v>20</v>
      </c>
      <c r="I313" s="1">
        <v>89</v>
      </c>
      <c r="J313" s="1">
        <v>0.9</v>
      </c>
      <c r="K313" s="1">
        <v>0</v>
      </c>
      <c r="L313" s="1"/>
      <c r="M313" s="1">
        <v>771129.07</v>
      </c>
      <c r="N313" s="1">
        <v>116851.13</v>
      </c>
    </row>
    <row r="314" spans="1:14">
      <c r="A314" s="1" t="s">
        <v>100</v>
      </c>
      <c r="B314" s="3">
        <v>45658</v>
      </c>
      <c r="C314" s="1" t="s">
        <v>20</v>
      </c>
      <c r="D314" s="1" t="s">
        <v>16</v>
      </c>
      <c r="E314" s="1">
        <v>78967.520000000004</v>
      </c>
      <c r="F314" s="1">
        <v>6164</v>
      </c>
      <c r="G314" s="1">
        <v>2.1000000000000001E-2</v>
      </c>
      <c r="H314" s="1">
        <v>16</v>
      </c>
      <c r="I314" s="1">
        <v>85.5</v>
      </c>
      <c r="J314" s="1">
        <v>0.2</v>
      </c>
      <c r="K314" s="1">
        <v>0</v>
      </c>
      <c r="L314" s="1">
        <v>3.4</v>
      </c>
      <c r="M314" s="1">
        <v>702052.47</v>
      </c>
      <c r="N314" s="1">
        <v>121732.51</v>
      </c>
    </row>
    <row r="315" spans="1:14">
      <c r="A315" s="1" t="s">
        <v>100</v>
      </c>
      <c r="B315" s="3">
        <v>45689</v>
      </c>
      <c r="C315" s="1" t="s">
        <v>20</v>
      </c>
      <c r="D315" s="1" t="s">
        <v>16</v>
      </c>
      <c r="E315" s="1">
        <v>46767.99</v>
      </c>
      <c r="F315" s="1">
        <v>7973</v>
      </c>
      <c r="G315" s="1">
        <v>0.183</v>
      </c>
      <c r="H315" s="1">
        <v>18</v>
      </c>
      <c r="I315" s="1">
        <v>94.8</v>
      </c>
      <c r="J315" s="1">
        <v>4.67</v>
      </c>
      <c r="K315" s="1">
        <v>0</v>
      </c>
      <c r="L315" s="1"/>
      <c r="M315" s="1">
        <v>688368.46</v>
      </c>
      <c r="N315" s="1">
        <v>93588.42</v>
      </c>
    </row>
    <row r="316" spans="1:14">
      <c r="A316" s="1" t="s">
        <v>100</v>
      </c>
      <c r="B316" s="3">
        <v>45717</v>
      </c>
      <c r="C316" s="1" t="s">
        <v>20</v>
      </c>
      <c r="D316" s="1" t="s">
        <v>16</v>
      </c>
      <c r="E316" s="1">
        <v>62507.16</v>
      </c>
      <c r="F316" s="1">
        <v>6000</v>
      </c>
      <c r="G316" s="1">
        <v>9.0999999999999998E-2</v>
      </c>
      <c r="H316" s="1">
        <v>14</v>
      </c>
      <c r="I316" s="1">
        <v>98.2</v>
      </c>
      <c r="J316" s="1">
        <v>4.38</v>
      </c>
      <c r="K316" s="1">
        <v>1</v>
      </c>
      <c r="L316" s="1">
        <v>3.9</v>
      </c>
      <c r="M316" s="1">
        <v>712375.77</v>
      </c>
      <c r="N316" s="1">
        <v>104171.53</v>
      </c>
    </row>
    <row r="317" spans="1:14">
      <c r="A317" s="1" t="s">
        <v>100</v>
      </c>
      <c r="B317" s="3">
        <v>45748</v>
      </c>
      <c r="C317" s="1" t="s">
        <v>20</v>
      </c>
      <c r="D317" s="1" t="s">
        <v>16</v>
      </c>
      <c r="E317" s="1">
        <v>66456.28</v>
      </c>
      <c r="F317" s="1">
        <v>9967</v>
      </c>
      <c r="G317" s="1">
        <v>0.108</v>
      </c>
      <c r="H317" s="1">
        <v>20</v>
      </c>
      <c r="I317" s="1">
        <v>94.7</v>
      </c>
      <c r="J317" s="1">
        <v>4.4800000000000004</v>
      </c>
      <c r="K317" s="1">
        <v>0</v>
      </c>
      <c r="L317" s="1">
        <v>4.2</v>
      </c>
      <c r="M317" s="1">
        <v>844710.67</v>
      </c>
      <c r="N317" s="1">
        <v>137140.18</v>
      </c>
    </row>
    <row r="318" spans="1:14">
      <c r="A318" s="1" t="s">
        <v>101</v>
      </c>
      <c r="B318" s="3">
        <v>45658</v>
      </c>
      <c r="C318" s="1" t="s">
        <v>15</v>
      </c>
      <c r="D318" s="1" t="s">
        <v>16</v>
      </c>
      <c r="E318" s="1">
        <v>76614.320000000007</v>
      </c>
      <c r="F318" s="1">
        <v>5639</v>
      </c>
      <c r="G318" s="1">
        <v>0.17399999999999999</v>
      </c>
      <c r="H318" s="1">
        <v>15</v>
      </c>
      <c r="I318" s="1">
        <v>92.9</v>
      </c>
      <c r="J318" s="1">
        <v>1.02</v>
      </c>
      <c r="K318" s="1">
        <v>1</v>
      </c>
      <c r="L318" s="1">
        <v>4</v>
      </c>
      <c r="M318" s="1">
        <v>620264.19999999995</v>
      </c>
      <c r="N318" s="1">
        <v>91365.64</v>
      </c>
    </row>
    <row r="319" spans="1:14">
      <c r="A319" s="1" t="s">
        <v>101</v>
      </c>
      <c r="B319" s="3">
        <v>45689</v>
      </c>
      <c r="C319" s="1" t="s">
        <v>15</v>
      </c>
      <c r="D319" s="1" t="s">
        <v>16</v>
      </c>
      <c r="E319" s="1">
        <v>24088.06</v>
      </c>
      <c r="F319" s="1">
        <v>3466</v>
      </c>
      <c r="G319" s="1">
        <v>0</v>
      </c>
      <c r="H319" s="1">
        <v>11</v>
      </c>
      <c r="I319" s="1">
        <v>88</v>
      </c>
      <c r="J319" s="1">
        <v>0.2</v>
      </c>
      <c r="K319" s="1">
        <v>0</v>
      </c>
      <c r="L319" s="1">
        <v>3.8</v>
      </c>
      <c r="M319" s="1">
        <v>536845.42000000004</v>
      </c>
      <c r="N319" s="1">
        <v>107473.75</v>
      </c>
    </row>
    <row r="320" spans="1:14">
      <c r="A320" s="1" t="s">
        <v>101</v>
      </c>
      <c r="B320" s="3">
        <v>45717</v>
      </c>
      <c r="C320" s="1" t="s">
        <v>15</v>
      </c>
      <c r="D320" s="1" t="s">
        <v>16</v>
      </c>
      <c r="E320" s="1">
        <v>81902.58</v>
      </c>
      <c r="F320" s="1">
        <v>7775</v>
      </c>
      <c r="G320" s="1">
        <v>0.215</v>
      </c>
      <c r="H320" s="1">
        <v>20</v>
      </c>
      <c r="I320" s="1">
        <v>85.2</v>
      </c>
      <c r="J320" s="1">
        <v>4.8899999999999997</v>
      </c>
      <c r="K320" s="1">
        <v>1</v>
      </c>
      <c r="L320" s="1">
        <v>4.2</v>
      </c>
      <c r="M320" s="1">
        <v>726776.22</v>
      </c>
      <c r="N320" s="1">
        <v>90804.49</v>
      </c>
    </row>
    <row r="321" spans="1:14">
      <c r="A321" s="1" t="s">
        <v>101</v>
      </c>
      <c r="B321" s="3">
        <v>45748</v>
      </c>
      <c r="C321" s="1" t="s">
        <v>15</v>
      </c>
      <c r="D321" s="1" t="s">
        <v>16</v>
      </c>
      <c r="E321" s="1">
        <v>40553.11</v>
      </c>
      <c r="F321" s="1">
        <v>5317</v>
      </c>
      <c r="G321" s="1">
        <v>0.16500000000000001</v>
      </c>
      <c r="H321" s="1">
        <v>17</v>
      </c>
      <c r="I321" s="1">
        <v>84.3</v>
      </c>
      <c r="J321" s="1">
        <v>11.82</v>
      </c>
      <c r="K321" s="1">
        <v>0</v>
      </c>
      <c r="L321" s="1">
        <v>4.0999999999999996</v>
      </c>
      <c r="M321" s="1">
        <v>559660.84</v>
      </c>
      <c r="N321" s="1">
        <v>71443.61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E8C85-B3DF-4F24-866A-301ABF33B4F4}">
  <dimension ref="A1:T321"/>
  <sheetViews>
    <sheetView topLeftCell="B1" workbookViewId="0">
      <selection activeCell="C1" sqref="C1:C1048576"/>
    </sheetView>
  </sheetViews>
  <sheetFormatPr defaultRowHeight="14.5"/>
  <cols>
    <col min="4" max="4" width="12.36328125" customWidth="1"/>
    <col min="5" max="5" width="12.26953125" customWidth="1"/>
    <col min="6" max="6" width="13" customWidth="1"/>
    <col min="7" max="7" width="15.08984375" customWidth="1"/>
    <col min="8" max="8" width="13.54296875" customWidth="1"/>
    <col min="9" max="9" width="12.26953125" customWidth="1"/>
    <col min="10" max="10" width="11.81640625" customWidth="1"/>
    <col min="11" max="11" width="10" customWidth="1"/>
    <col min="12" max="12" width="10.453125" customWidth="1"/>
    <col min="13" max="13" width="10.90625" customWidth="1"/>
    <col min="14" max="14" width="13.6328125" customWidth="1"/>
    <col min="15" max="15" width="12.08984375" customWidth="1"/>
  </cols>
  <sheetData>
    <row r="1" spans="1:20" ht="4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</row>
    <row r="2" spans="1:20">
      <c r="A2" s="1" t="s">
        <v>14</v>
      </c>
      <c r="B2" s="3">
        <v>45658</v>
      </c>
      <c r="C2" s="1" t="s">
        <v>15</v>
      </c>
      <c r="D2" s="1" t="s">
        <v>16</v>
      </c>
      <c r="E2" s="1">
        <v>70389.11</v>
      </c>
      <c r="F2" s="1">
        <v>8302</v>
      </c>
      <c r="G2" s="1">
        <v>4.2000000000000003E-2</v>
      </c>
      <c r="H2" s="1">
        <v>17</v>
      </c>
      <c r="I2" s="1">
        <v>75</v>
      </c>
      <c r="J2" s="1">
        <v>5.28</v>
      </c>
      <c r="K2" s="1">
        <v>1</v>
      </c>
      <c r="L2" s="1">
        <v>3.1</v>
      </c>
      <c r="M2" s="1">
        <v>658832.62</v>
      </c>
      <c r="N2" s="1">
        <v>84349.93</v>
      </c>
      <c r="O2">
        <f>IF(C2="East",1,0)</f>
        <v>1</v>
      </c>
      <c r="P2">
        <f>IF(C2="North",1,0)</f>
        <v>0</v>
      </c>
      <c r="Q2">
        <f>IF(C2="South",1,0)</f>
        <v>0</v>
      </c>
      <c r="R2">
        <f>IF(D2="Residential",1,0)</f>
        <v>1</v>
      </c>
      <c r="S2">
        <f>IF(D2="High Street",1,0)</f>
        <v>0</v>
      </c>
      <c r="T2">
        <f>IF(D2="Airport",1,0)</f>
        <v>0</v>
      </c>
    </row>
    <row r="3" spans="1:20">
      <c r="A3" s="1" t="s">
        <v>14</v>
      </c>
      <c r="B3" s="3">
        <v>45689</v>
      </c>
      <c r="C3" s="1" t="s">
        <v>15</v>
      </c>
      <c r="D3" s="1" t="s">
        <v>16</v>
      </c>
      <c r="E3" s="1">
        <v>43827.89</v>
      </c>
      <c r="F3" s="1">
        <v>8487</v>
      </c>
      <c r="G3" s="1">
        <v>0.16800000000000001</v>
      </c>
      <c r="H3" s="1">
        <v>23</v>
      </c>
      <c r="I3" s="1">
        <v>84.4</v>
      </c>
      <c r="J3" s="1">
        <v>4.3099999999999996</v>
      </c>
      <c r="K3" s="1">
        <v>0</v>
      </c>
      <c r="L3" s="1">
        <v>2.8</v>
      </c>
      <c r="M3" s="1">
        <v>634436</v>
      </c>
      <c r="N3" s="1">
        <v>106130.54</v>
      </c>
      <c r="O3">
        <f>IF(C3="East",1,0)</f>
        <v>1</v>
      </c>
      <c r="P3">
        <f t="shared" ref="P3:P66" si="0">IF(C3="North",1,0)</f>
        <v>0</v>
      </c>
      <c r="Q3">
        <f t="shared" ref="Q3:Q66" si="1">IF(C3="South",1,0)</f>
        <v>0</v>
      </c>
      <c r="R3">
        <f t="shared" ref="R3:R66" si="2">IF(D3="Residential",1,0)</f>
        <v>1</v>
      </c>
      <c r="S3">
        <f t="shared" ref="S3:S66" si="3">IF(D3="High Street",1,0)</f>
        <v>0</v>
      </c>
      <c r="T3">
        <f t="shared" ref="T3:T66" si="4">IF(D3="Airport",1,0)</f>
        <v>0</v>
      </c>
    </row>
    <row r="4" spans="1:20">
      <c r="A4" s="1" t="s">
        <v>14</v>
      </c>
      <c r="B4" s="3">
        <v>45717</v>
      </c>
      <c r="C4" s="1" t="s">
        <v>15</v>
      </c>
      <c r="D4" s="1" t="s">
        <v>16</v>
      </c>
      <c r="E4" s="1">
        <v>59921.75</v>
      </c>
      <c r="F4" s="1">
        <v>9113</v>
      </c>
      <c r="G4" s="1">
        <v>0.13300000000000001</v>
      </c>
      <c r="H4" s="1">
        <v>20</v>
      </c>
      <c r="I4" s="1">
        <v>88</v>
      </c>
      <c r="J4" s="1">
        <v>12</v>
      </c>
      <c r="K4" s="1">
        <v>0</v>
      </c>
      <c r="L4" s="1">
        <v>3.2</v>
      </c>
      <c r="M4" s="1">
        <v>678722.06</v>
      </c>
      <c r="N4" s="1">
        <v>101883.86</v>
      </c>
      <c r="O4">
        <f t="shared" ref="O4:O66" si="5">IF(C4="East",1,0)</f>
        <v>1</v>
      </c>
      <c r="P4">
        <f t="shared" si="0"/>
        <v>0</v>
      </c>
      <c r="Q4">
        <f t="shared" si="1"/>
        <v>0</v>
      </c>
      <c r="R4">
        <f t="shared" si="2"/>
        <v>1</v>
      </c>
      <c r="S4">
        <f t="shared" si="3"/>
        <v>0</v>
      </c>
      <c r="T4">
        <f t="shared" si="4"/>
        <v>0</v>
      </c>
    </row>
    <row r="5" spans="1:20">
      <c r="A5" s="1" t="s">
        <v>14</v>
      </c>
      <c r="B5" s="3">
        <v>45748</v>
      </c>
      <c r="C5" s="1" t="s">
        <v>15</v>
      </c>
      <c r="D5" s="1" t="s">
        <v>16</v>
      </c>
      <c r="E5" s="1">
        <v>56856.63</v>
      </c>
      <c r="F5" s="1">
        <v>9431</v>
      </c>
      <c r="G5" s="1">
        <v>0.14199999999999999</v>
      </c>
      <c r="H5" s="1">
        <v>23</v>
      </c>
      <c r="I5" s="1">
        <v>86.9</v>
      </c>
      <c r="J5" s="1">
        <v>4.97</v>
      </c>
      <c r="K5" s="1">
        <v>0</v>
      </c>
      <c r="L5" s="1">
        <v>3.4</v>
      </c>
      <c r="M5" s="1">
        <v>658920.30000000005</v>
      </c>
      <c r="N5" s="1">
        <v>97910.37</v>
      </c>
      <c r="O5">
        <f t="shared" si="5"/>
        <v>1</v>
      </c>
      <c r="P5">
        <f t="shared" si="0"/>
        <v>0</v>
      </c>
      <c r="Q5">
        <f t="shared" si="1"/>
        <v>0</v>
      </c>
      <c r="R5">
        <f t="shared" si="2"/>
        <v>1</v>
      </c>
      <c r="S5">
        <f t="shared" si="3"/>
        <v>0</v>
      </c>
      <c r="T5">
        <f t="shared" si="4"/>
        <v>0</v>
      </c>
    </row>
    <row r="6" spans="1:20">
      <c r="A6" s="1" t="s">
        <v>17</v>
      </c>
      <c r="B6" s="3">
        <v>45658</v>
      </c>
      <c r="C6" s="1" t="s">
        <v>15</v>
      </c>
      <c r="D6" s="1" t="s">
        <v>18</v>
      </c>
      <c r="E6" s="1">
        <v>48412.639999999999</v>
      </c>
      <c r="F6" s="1">
        <v>9545</v>
      </c>
      <c r="G6" s="1">
        <v>0.23100000000000001</v>
      </c>
      <c r="H6" s="1">
        <v>21</v>
      </c>
      <c r="I6" s="1">
        <v>97.6</v>
      </c>
      <c r="J6" s="1">
        <v>6.94</v>
      </c>
      <c r="K6" s="1">
        <v>1</v>
      </c>
      <c r="L6" s="1">
        <v>4.2</v>
      </c>
      <c r="M6" s="1">
        <v>741341.44</v>
      </c>
      <c r="N6" s="1">
        <v>119208.17</v>
      </c>
      <c r="O6">
        <f t="shared" si="5"/>
        <v>1</v>
      </c>
      <c r="P6">
        <f t="shared" si="0"/>
        <v>0</v>
      </c>
      <c r="Q6">
        <f t="shared" si="1"/>
        <v>0</v>
      </c>
      <c r="R6">
        <f t="shared" si="2"/>
        <v>0</v>
      </c>
      <c r="S6">
        <f t="shared" si="3"/>
        <v>1</v>
      </c>
      <c r="T6">
        <f t="shared" si="4"/>
        <v>0</v>
      </c>
    </row>
    <row r="7" spans="1:20">
      <c r="A7" s="1" t="s">
        <v>17</v>
      </c>
      <c r="B7" s="3">
        <v>45689</v>
      </c>
      <c r="C7" s="1" t="s">
        <v>15</v>
      </c>
      <c r="D7" s="1" t="s">
        <v>18</v>
      </c>
      <c r="E7" s="1">
        <v>64811.21</v>
      </c>
      <c r="F7" s="1">
        <v>9792</v>
      </c>
      <c r="G7" s="1">
        <v>0.112</v>
      </c>
      <c r="H7" s="1">
        <v>20</v>
      </c>
      <c r="I7" s="1">
        <v>84.2</v>
      </c>
      <c r="J7" s="1">
        <v>2.88</v>
      </c>
      <c r="K7" s="1">
        <v>0</v>
      </c>
      <c r="L7" s="1">
        <v>4.2</v>
      </c>
      <c r="M7" s="1">
        <v>761835.34</v>
      </c>
      <c r="N7" s="1">
        <v>149602.23000000001</v>
      </c>
      <c r="O7">
        <f t="shared" si="5"/>
        <v>1</v>
      </c>
      <c r="P7">
        <f t="shared" si="0"/>
        <v>0</v>
      </c>
      <c r="Q7">
        <f t="shared" si="1"/>
        <v>0</v>
      </c>
      <c r="R7">
        <f t="shared" si="2"/>
        <v>0</v>
      </c>
      <c r="S7">
        <f t="shared" si="3"/>
        <v>1</v>
      </c>
      <c r="T7">
        <f t="shared" si="4"/>
        <v>0</v>
      </c>
    </row>
    <row r="8" spans="1:20">
      <c r="A8" s="1" t="s">
        <v>17</v>
      </c>
      <c r="B8" s="3">
        <v>45717</v>
      </c>
      <c r="C8" s="1" t="s">
        <v>15</v>
      </c>
      <c r="D8" s="1" t="s">
        <v>18</v>
      </c>
      <c r="E8" s="1">
        <v>46213.45</v>
      </c>
      <c r="F8" s="1">
        <v>10616</v>
      </c>
      <c r="G8" s="1">
        <v>0.122</v>
      </c>
      <c r="H8" s="1">
        <v>22</v>
      </c>
      <c r="I8" s="1">
        <v>85.2</v>
      </c>
      <c r="J8" s="1">
        <v>0.2</v>
      </c>
      <c r="K8" s="1">
        <v>1</v>
      </c>
      <c r="L8" s="1">
        <v>4.0999999999999996</v>
      </c>
      <c r="M8" s="1">
        <v>806615.54</v>
      </c>
      <c r="N8" s="1">
        <v>131364.62</v>
      </c>
      <c r="O8">
        <f t="shared" si="5"/>
        <v>1</v>
      </c>
      <c r="P8">
        <f t="shared" si="0"/>
        <v>0</v>
      </c>
      <c r="Q8">
        <f t="shared" si="1"/>
        <v>0</v>
      </c>
      <c r="R8">
        <f t="shared" si="2"/>
        <v>0</v>
      </c>
      <c r="S8">
        <f t="shared" si="3"/>
        <v>1</v>
      </c>
      <c r="T8">
        <f t="shared" si="4"/>
        <v>0</v>
      </c>
    </row>
    <row r="9" spans="1:20">
      <c r="A9" s="1" t="s">
        <v>17</v>
      </c>
      <c r="B9" s="3">
        <v>45748</v>
      </c>
      <c r="C9" s="1" t="s">
        <v>15</v>
      </c>
      <c r="D9" s="1" t="s">
        <v>18</v>
      </c>
      <c r="E9" s="1">
        <v>68148.52</v>
      </c>
      <c r="F9" s="1">
        <v>8567</v>
      </c>
      <c r="G9" s="1">
        <v>0.127</v>
      </c>
      <c r="H9" s="1">
        <v>23</v>
      </c>
      <c r="I9" s="1">
        <v>95.6</v>
      </c>
      <c r="J9" s="1">
        <v>0.8</v>
      </c>
      <c r="K9" s="1">
        <v>0</v>
      </c>
      <c r="L9" s="1">
        <v>3.9</v>
      </c>
      <c r="M9" s="1">
        <v>850164.26</v>
      </c>
      <c r="N9" s="1">
        <v>149262.75</v>
      </c>
      <c r="O9">
        <f t="shared" si="5"/>
        <v>1</v>
      </c>
      <c r="P9">
        <f t="shared" si="0"/>
        <v>0</v>
      </c>
      <c r="Q9">
        <f t="shared" si="1"/>
        <v>0</v>
      </c>
      <c r="R9">
        <f t="shared" si="2"/>
        <v>0</v>
      </c>
      <c r="S9">
        <f t="shared" si="3"/>
        <v>1</v>
      </c>
      <c r="T9">
        <f t="shared" si="4"/>
        <v>0</v>
      </c>
    </row>
    <row r="10" spans="1:20">
      <c r="A10" s="1" t="s">
        <v>19</v>
      </c>
      <c r="B10" s="3">
        <v>45658</v>
      </c>
      <c r="C10" s="1" t="s">
        <v>20</v>
      </c>
      <c r="D10" s="1" t="s">
        <v>21</v>
      </c>
      <c r="E10" s="1">
        <v>71838.86</v>
      </c>
      <c r="F10" s="1">
        <v>10979</v>
      </c>
      <c r="G10" s="1">
        <v>0.215</v>
      </c>
      <c r="H10" s="1">
        <v>26</v>
      </c>
      <c r="I10" s="1">
        <v>88.6</v>
      </c>
      <c r="J10" s="1">
        <v>7.7</v>
      </c>
      <c r="K10" s="1">
        <v>1</v>
      </c>
      <c r="L10" s="1">
        <v>3.8</v>
      </c>
      <c r="M10" s="1">
        <v>930581.7</v>
      </c>
      <c r="N10" s="1">
        <v>136207.98000000001</v>
      </c>
      <c r="O10">
        <f t="shared" si="5"/>
        <v>0</v>
      </c>
      <c r="P10">
        <f t="shared" si="0"/>
        <v>1</v>
      </c>
      <c r="Q10">
        <f t="shared" si="1"/>
        <v>0</v>
      </c>
      <c r="R10">
        <f t="shared" si="2"/>
        <v>0</v>
      </c>
      <c r="S10">
        <f t="shared" si="3"/>
        <v>0</v>
      </c>
      <c r="T10">
        <f t="shared" si="4"/>
        <v>1</v>
      </c>
    </row>
    <row r="11" spans="1:20">
      <c r="A11" s="1" t="s">
        <v>19</v>
      </c>
      <c r="B11" s="3">
        <v>45689</v>
      </c>
      <c r="C11" s="1" t="s">
        <v>20</v>
      </c>
      <c r="D11" s="1" t="s">
        <v>21</v>
      </c>
      <c r="E11" s="1">
        <v>68133.440000000002</v>
      </c>
      <c r="F11" s="1">
        <v>9459</v>
      </c>
      <c r="G11" s="1">
        <v>0.22</v>
      </c>
      <c r="H11" s="1">
        <v>21</v>
      </c>
      <c r="I11" s="1">
        <v>85</v>
      </c>
      <c r="J11" s="1">
        <v>1.91</v>
      </c>
      <c r="K11" s="1">
        <v>0</v>
      </c>
      <c r="L11" s="1">
        <v>4.2</v>
      </c>
      <c r="M11" s="1">
        <v>779010.94</v>
      </c>
      <c r="N11" s="1">
        <v>106328.09</v>
      </c>
      <c r="O11">
        <f t="shared" si="5"/>
        <v>0</v>
      </c>
      <c r="P11">
        <f t="shared" si="0"/>
        <v>1</v>
      </c>
      <c r="Q11">
        <f t="shared" si="1"/>
        <v>0</v>
      </c>
      <c r="R11">
        <f t="shared" si="2"/>
        <v>0</v>
      </c>
      <c r="S11">
        <f t="shared" si="3"/>
        <v>0</v>
      </c>
      <c r="T11">
        <f t="shared" si="4"/>
        <v>1</v>
      </c>
    </row>
    <row r="12" spans="1:20">
      <c r="A12" s="1" t="s">
        <v>19</v>
      </c>
      <c r="B12" s="3">
        <v>45717</v>
      </c>
      <c r="C12" s="1" t="s">
        <v>20</v>
      </c>
      <c r="D12" s="1" t="s">
        <v>21</v>
      </c>
      <c r="E12" s="1">
        <v>34285.21</v>
      </c>
      <c r="F12" s="1">
        <v>9172</v>
      </c>
      <c r="G12" s="1">
        <v>0.21299999999999999</v>
      </c>
      <c r="H12" s="1">
        <v>22</v>
      </c>
      <c r="I12" s="1">
        <v>88.3</v>
      </c>
      <c r="J12" s="1">
        <v>10.46</v>
      </c>
      <c r="K12" s="1">
        <v>1</v>
      </c>
      <c r="L12" s="1">
        <v>3.8</v>
      </c>
      <c r="M12" s="1">
        <v>723060.76</v>
      </c>
      <c r="N12" s="1">
        <v>123131.24</v>
      </c>
      <c r="O12">
        <f t="shared" si="5"/>
        <v>0</v>
      </c>
      <c r="P12">
        <f t="shared" si="0"/>
        <v>1</v>
      </c>
      <c r="Q12">
        <f t="shared" si="1"/>
        <v>0</v>
      </c>
      <c r="R12">
        <f t="shared" si="2"/>
        <v>0</v>
      </c>
      <c r="S12">
        <f t="shared" si="3"/>
        <v>0</v>
      </c>
      <c r="T12">
        <f t="shared" si="4"/>
        <v>1</v>
      </c>
    </row>
    <row r="13" spans="1:20">
      <c r="A13" s="1" t="s">
        <v>19</v>
      </c>
      <c r="B13" s="3">
        <v>45748</v>
      </c>
      <c r="C13" s="1" t="s">
        <v>20</v>
      </c>
      <c r="D13" s="1" t="s">
        <v>21</v>
      </c>
      <c r="E13" s="1">
        <v>67979.88</v>
      </c>
      <c r="F13" s="1">
        <v>11230</v>
      </c>
      <c r="G13" s="1">
        <v>2E-3</v>
      </c>
      <c r="H13" s="1">
        <v>28</v>
      </c>
      <c r="I13" s="1">
        <v>85.3</v>
      </c>
      <c r="J13" s="1">
        <v>7.16</v>
      </c>
      <c r="K13" s="1">
        <v>0</v>
      </c>
      <c r="L13" s="1">
        <v>3.8</v>
      </c>
      <c r="M13" s="1">
        <v>910791.94</v>
      </c>
      <c r="N13" s="1">
        <v>158891.28</v>
      </c>
      <c r="O13">
        <f t="shared" si="5"/>
        <v>0</v>
      </c>
      <c r="P13">
        <f t="shared" si="0"/>
        <v>1</v>
      </c>
      <c r="Q13">
        <f t="shared" si="1"/>
        <v>0</v>
      </c>
      <c r="R13">
        <f t="shared" si="2"/>
        <v>0</v>
      </c>
      <c r="S13">
        <f t="shared" si="3"/>
        <v>0</v>
      </c>
      <c r="T13">
        <f t="shared" si="4"/>
        <v>1</v>
      </c>
    </row>
    <row r="14" spans="1:20">
      <c r="A14" s="1" t="s">
        <v>22</v>
      </c>
      <c r="B14" s="3">
        <v>45658</v>
      </c>
      <c r="C14" s="1" t="s">
        <v>15</v>
      </c>
      <c r="D14" s="1" t="s">
        <v>16</v>
      </c>
      <c r="E14" s="1">
        <v>71828.259999999995</v>
      </c>
      <c r="F14" s="1">
        <v>12775</v>
      </c>
      <c r="G14" s="1">
        <v>0.11600000000000001</v>
      </c>
      <c r="H14" s="1">
        <v>30</v>
      </c>
      <c r="I14" s="1">
        <v>81.7</v>
      </c>
      <c r="J14" s="1">
        <v>4.24</v>
      </c>
      <c r="K14" s="1">
        <v>1</v>
      </c>
      <c r="L14" s="1">
        <v>4.2</v>
      </c>
      <c r="M14" s="1">
        <v>922168.6</v>
      </c>
      <c r="N14" s="1">
        <v>107494.53</v>
      </c>
      <c r="O14">
        <f t="shared" si="5"/>
        <v>1</v>
      </c>
      <c r="P14">
        <f t="shared" si="0"/>
        <v>0</v>
      </c>
      <c r="Q14">
        <f t="shared" si="1"/>
        <v>0</v>
      </c>
      <c r="R14">
        <f t="shared" si="2"/>
        <v>1</v>
      </c>
      <c r="S14">
        <f t="shared" si="3"/>
        <v>0</v>
      </c>
      <c r="T14">
        <f t="shared" si="4"/>
        <v>0</v>
      </c>
    </row>
    <row r="15" spans="1:20">
      <c r="A15" s="1" t="s">
        <v>22</v>
      </c>
      <c r="B15" s="3">
        <v>45689</v>
      </c>
      <c r="C15" s="1" t="s">
        <v>15</v>
      </c>
      <c r="D15" s="1" t="s">
        <v>16</v>
      </c>
      <c r="E15" s="1">
        <v>55716.82</v>
      </c>
      <c r="F15" s="1">
        <v>10054</v>
      </c>
      <c r="G15" s="1">
        <v>0.14599999999999999</v>
      </c>
      <c r="H15" s="1">
        <v>24</v>
      </c>
      <c r="I15" s="1">
        <v>84.9</v>
      </c>
      <c r="J15" s="1">
        <v>1.06</v>
      </c>
      <c r="K15" s="1">
        <v>0</v>
      </c>
      <c r="L15" s="1">
        <v>4.3</v>
      </c>
      <c r="M15" s="1">
        <v>726606.28</v>
      </c>
      <c r="N15" s="1">
        <v>122729.29</v>
      </c>
      <c r="O15">
        <f t="shared" si="5"/>
        <v>1</v>
      </c>
      <c r="P15">
        <f t="shared" si="0"/>
        <v>0</v>
      </c>
      <c r="Q15">
        <f t="shared" si="1"/>
        <v>0</v>
      </c>
      <c r="R15">
        <f t="shared" si="2"/>
        <v>1</v>
      </c>
      <c r="S15">
        <f t="shared" si="3"/>
        <v>0</v>
      </c>
      <c r="T15">
        <f t="shared" si="4"/>
        <v>0</v>
      </c>
    </row>
    <row r="16" spans="1:20">
      <c r="A16" s="1" t="s">
        <v>22</v>
      </c>
      <c r="B16" s="3">
        <v>45717</v>
      </c>
      <c r="C16" s="1" t="s">
        <v>15</v>
      </c>
      <c r="D16" s="1" t="s">
        <v>16</v>
      </c>
      <c r="E16" s="1">
        <v>59909.51</v>
      </c>
      <c r="F16" s="1">
        <v>8895</v>
      </c>
      <c r="G16" s="1">
        <v>0.22800000000000001</v>
      </c>
      <c r="H16" s="1">
        <v>23</v>
      </c>
      <c r="I16" s="1">
        <v>88.8</v>
      </c>
      <c r="J16" s="1">
        <v>0.27</v>
      </c>
      <c r="K16" s="1">
        <v>0</v>
      </c>
      <c r="L16" s="1">
        <v>4.3</v>
      </c>
      <c r="M16" s="1">
        <v>746501.09</v>
      </c>
      <c r="N16" s="1">
        <v>136816.72</v>
      </c>
      <c r="O16">
        <f t="shared" si="5"/>
        <v>1</v>
      </c>
      <c r="P16">
        <f t="shared" si="0"/>
        <v>0</v>
      </c>
      <c r="Q16">
        <f t="shared" si="1"/>
        <v>0</v>
      </c>
      <c r="R16">
        <f t="shared" si="2"/>
        <v>1</v>
      </c>
      <c r="S16">
        <f t="shared" si="3"/>
        <v>0</v>
      </c>
      <c r="T16">
        <f t="shared" si="4"/>
        <v>0</v>
      </c>
    </row>
    <row r="17" spans="1:20">
      <c r="A17" s="1" t="s">
        <v>22</v>
      </c>
      <c r="B17" s="3">
        <v>45748</v>
      </c>
      <c r="C17" s="1" t="s">
        <v>15</v>
      </c>
      <c r="D17" s="1" t="s">
        <v>16</v>
      </c>
      <c r="E17" s="1">
        <v>75305.710000000006</v>
      </c>
      <c r="F17" s="1">
        <v>10940</v>
      </c>
      <c r="G17" s="1">
        <v>6.0000000000000001E-3</v>
      </c>
      <c r="H17" s="1">
        <v>26</v>
      </c>
      <c r="I17" s="1">
        <v>76.5</v>
      </c>
      <c r="J17" s="1">
        <v>1.32</v>
      </c>
      <c r="K17" s="1">
        <v>0</v>
      </c>
      <c r="L17" s="1">
        <v>4.5</v>
      </c>
      <c r="M17" s="1">
        <v>834017.02</v>
      </c>
      <c r="N17" s="1">
        <v>114745.03</v>
      </c>
      <c r="O17">
        <f t="shared" si="5"/>
        <v>1</v>
      </c>
      <c r="P17">
        <f t="shared" si="0"/>
        <v>0</v>
      </c>
      <c r="Q17">
        <f t="shared" si="1"/>
        <v>0</v>
      </c>
      <c r="R17">
        <f t="shared" si="2"/>
        <v>1</v>
      </c>
      <c r="S17">
        <f t="shared" si="3"/>
        <v>0</v>
      </c>
      <c r="T17">
        <f t="shared" si="4"/>
        <v>0</v>
      </c>
    </row>
    <row r="18" spans="1:20">
      <c r="A18" s="1" t="s">
        <v>23</v>
      </c>
      <c r="B18" s="3">
        <v>45658</v>
      </c>
      <c r="C18" s="1" t="s">
        <v>24</v>
      </c>
      <c r="D18" s="1" t="s">
        <v>16</v>
      </c>
      <c r="E18" s="1">
        <v>48804.22</v>
      </c>
      <c r="F18" s="1">
        <v>7057</v>
      </c>
      <c r="G18" s="1">
        <v>5.0000000000000001E-3</v>
      </c>
      <c r="H18" s="1">
        <v>15</v>
      </c>
      <c r="I18" s="1">
        <v>87.7</v>
      </c>
      <c r="J18" s="1">
        <v>1.22</v>
      </c>
      <c r="K18" s="1">
        <v>0</v>
      </c>
      <c r="L18" s="1">
        <v>3.7</v>
      </c>
      <c r="M18" s="1">
        <v>666152.52</v>
      </c>
      <c r="N18" s="1">
        <v>107490.58</v>
      </c>
      <c r="O18">
        <f t="shared" si="5"/>
        <v>0</v>
      </c>
      <c r="P18">
        <f t="shared" si="0"/>
        <v>0</v>
      </c>
      <c r="Q18">
        <f t="shared" si="1"/>
        <v>1</v>
      </c>
      <c r="R18">
        <f t="shared" si="2"/>
        <v>1</v>
      </c>
      <c r="S18">
        <f t="shared" si="3"/>
        <v>0</v>
      </c>
      <c r="T18">
        <f t="shared" si="4"/>
        <v>0</v>
      </c>
    </row>
    <row r="19" spans="1:20">
      <c r="A19" s="1" t="s">
        <v>23</v>
      </c>
      <c r="B19" s="3">
        <v>45689</v>
      </c>
      <c r="C19" s="1" t="s">
        <v>24</v>
      </c>
      <c r="D19" s="1" t="s">
        <v>16</v>
      </c>
      <c r="E19" s="1">
        <v>59117.9</v>
      </c>
      <c r="F19" s="1">
        <v>4263</v>
      </c>
      <c r="G19" s="1">
        <v>0.11899999999999999</v>
      </c>
      <c r="H19" s="1">
        <v>9</v>
      </c>
      <c r="I19" s="1">
        <v>87.6</v>
      </c>
      <c r="J19" s="1">
        <v>4.01</v>
      </c>
      <c r="K19" s="1">
        <v>0</v>
      </c>
      <c r="L19" s="1">
        <v>3.6</v>
      </c>
      <c r="M19" s="1">
        <v>573155.18999999994</v>
      </c>
      <c r="N19" s="1">
        <v>83680.75</v>
      </c>
      <c r="O19">
        <f t="shared" si="5"/>
        <v>0</v>
      </c>
      <c r="P19">
        <f t="shared" si="0"/>
        <v>0</v>
      </c>
      <c r="Q19">
        <f t="shared" si="1"/>
        <v>1</v>
      </c>
      <c r="R19">
        <f t="shared" si="2"/>
        <v>1</v>
      </c>
      <c r="S19">
        <f t="shared" si="3"/>
        <v>0</v>
      </c>
      <c r="T19">
        <f t="shared" si="4"/>
        <v>0</v>
      </c>
    </row>
    <row r="20" spans="1:20">
      <c r="A20" s="1" t="s">
        <v>23</v>
      </c>
      <c r="B20" s="3">
        <v>45717</v>
      </c>
      <c r="C20" s="1" t="s">
        <v>24</v>
      </c>
      <c r="D20" s="1" t="s">
        <v>16</v>
      </c>
      <c r="E20" s="1">
        <v>78831.12</v>
      </c>
      <c r="F20" s="1">
        <v>5538</v>
      </c>
      <c r="G20" s="1">
        <v>0</v>
      </c>
      <c r="H20" s="1">
        <v>15</v>
      </c>
      <c r="I20" s="1">
        <v>94.1</v>
      </c>
      <c r="J20" s="1">
        <v>0.2</v>
      </c>
      <c r="K20" s="1">
        <v>0</v>
      </c>
      <c r="L20" s="1">
        <v>3.9</v>
      </c>
      <c r="M20" s="1">
        <v>666573.19999999995</v>
      </c>
      <c r="N20" s="1">
        <v>140641.01999999999</v>
      </c>
      <c r="O20">
        <f t="shared" si="5"/>
        <v>0</v>
      </c>
      <c r="P20">
        <f t="shared" si="0"/>
        <v>0</v>
      </c>
      <c r="Q20">
        <f t="shared" si="1"/>
        <v>1</v>
      </c>
      <c r="R20">
        <f t="shared" si="2"/>
        <v>1</v>
      </c>
      <c r="S20">
        <f t="shared" si="3"/>
        <v>0</v>
      </c>
      <c r="T20">
        <f t="shared" si="4"/>
        <v>0</v>
      </c>
    </row>
    <row r="21" spans="1:20">
      <c r="A21" s="1" t="s">
        <v>23</v>
      </c>
      <c r="B21" s="3">
        <v>45748</v>
      </c>
      <c r="C21" s="1" t="s">
        <v>24</v>
      </c>
      <c r="D21" s="1" t="s">
        <v>16</v>
      </c>
      <c r="E21" s="1">
        <v>41441.93</v>
      </c>
      <c r="F21" s="1">
        <v>4865</v>
      </c>
      <c r="G21" s="1">
        <v>0.158</v>
      </c>
      <c r="H21" s="1">
        <v>16</v>
      </c>
      <c r="I21" s="1">
        <v>88.3</v>
      </c>
      <c r="J21" s="1">
        <v>0.5</v>
      </c>
      <c r="K21" s="1">
        <v>0</v>
      </c>
      <c r="L21" s="1">
        <v>4</v>
      </c>
      <c r="M21" s="1">
        <v>591619.94999999995</v>
      </c>
      <c r="N21" s="1">
        <v>99521.35</v>
      </c>
      <c r="O21">
        <f t="shared" si="5"/>
        <v>0</v>
      </c>
      <c r="P21">
        <f t="shared" si="0"/>
        <v>0</v>
      </c>
      <c r="Q21">
        <f t="shared" si="1"/>
        <v>1</v>
      </c>
      <c r="R21">
        <f t="shared" si="2"/>
        <v>1</v>
      </c>
      <c r="S21">
        <f t="shared" si="3"/>
        <v>0</v>
      </c>
      <c r="T21">
        <f t="shared" si="4"/>
        <v>0</v>
      </c>
    </row>
    <row r="22" spans="1:20">
      <c r="A22" s="1" t="s">
        <v>25</v>
      </c>
      <c r="B22" s="3">
        <v>45658</v>
      </c>
      <c r="C22" s="1" t="s">
        <v>20</v>
      </c>
      <c r="D22" s="1" t="s">
        <v>16</v>
      </c>
      <c r="E22" s="1">
        <v>30356.28</v>
      </c>
      <c r="F22" s="1">
        <v>2822</v>
      </c>
      <c r="G22" s="1">
        <v>0.23100000000000001</v>
      </c>
      <c r="H22" s="1">
        <v>9</v>
      </c>
      <c r="I22" s="1">
        <v>84.8</v>
      </c>
      <c r="J22" s="1">
        <v>6.95</v>
      </c>
      <c r="K22" s="1">
        <v>0</v>
      </c>
      <c r="L22" s="1">
        <v>5</v>
      </c>
      <c r="M22" s="1">
        <v>415721.82</v>
      </c>
      <c r="N22" s="1">
        <v>61179.15</v>
      </c>
      <c r="O22">
        <f t="shared" si="5"/>
        <v>0</v>
      </c>
      <c r="P22">
        <f t="shared" si="0"/>
        <v>1</v>
      </c>
      <c r="Q22">
        <f t="shared" si="1"/>
        <v>0</v>
      </c>
      <c r="R22">
        <f t="shared" si="2"/>
        <v>1</v>
      </c>
      <c r="S22">
        <f t="shared" si="3"/>
        <v>0</v>
      </c>
      <c r="T22">
        <f t="shared" si="4"/>
        <v>0</v>
      </c>
    </row>
    <row r="23" spans="1:20">
      <c r="A23" s="1" t="s">
        <v>25</v>
      </c>
      <c r="B23" s="3">
        <v>45689</v>
      </c>
      <c r="C23" s="1" t="s">
        <v>20</v>
      </c>
      <c r="D23" s="1" t="s">
        <v>16</v>
      </c>
      <c r="E23" s="1">
        <v>33518.879999999997</v>
      </c>
      <c r="F23" s="1">
        <v>2121</v>
      </c>
      <c r="G23" s="1">
        <v>0.17599999999999999</v>
      </c>
      <c r="H23" s="1">
        <v>8</v>
      </c>
      <c r="I23" s="1">
        <v>88.5</v>
      </c>
      <c r="J23" s="1">
        <v>0.2</v>
      </c>
      <c r="K23" s="1">
        <v>0</v>
      </c>
      <c r="L23" s="1">
        <v>5</v>
      </c>
      <c r="M23" s="1">
        <v>491905.13</v>
      </c>
      <c r="N23" s="1">
        <v>79212.259999999995</v>
      </c>
      <c r="O23">
        <f t="shared" si="5"/>
        <v>0</v>
      </c>
      <c r="P23">
        <f t="shared" si="0"/>
        <v>1</v>
      </c>
      <c r="Q23">
        <f t="shared" si="1"/>
        <v>0</v>
      </c>
      <c r="R23">
        <f t="shared" si="2"/>
        <v>1</v>
      </c>
      <c r="S23">
        <f t="shared" si="3"/>
        <v>0</v>
      </c>
      <c r="T23">
        <f t="shared" si="4"/>
        <v>0</v>
      </c>
    </row>
    <row r="24" spans="1:20">
      <c r="A24" s="1" t="s">
        <v>25</v>
      </c>
      <c r="B24" s="3">
        <v>45717</v>
      </c>
      <c r="C24" s="1" t="s">
        <v>20</v>
      </c>
      <c r="D24" s="1" t="s">
        <v>16</v>
      </c>
      <c r="E24" s="1">
        <v>42267.37</v>
      </c>
      <c r="F24" s="1">
        <v>3364</v>
      </c>
      <c r="G24" s="1">
        <v>0.16</v>
      </c>
      <c r="H24" s="1">
        <v>13</v>
      </c>
      <c r="I24" s="1">
        <v>82</v>
      </c>
      <c r="J24" s="1">
        <v>1.61</v>
      </c>
      <c r="K24" s="1">
        <v>1</v>
      </c>
      <c r="L24" s="1">
        <v>4.5999999999999996</v>
      </c>
      <c r="M24" s="1">
        <v>555929.4</v>
      </c>
      <c r="N24" s="1">
        <v>115201.76</v>
      </c>
      <c r="O24">
        <f t="shared" si="5"/>
        <v>0</v>
      </c>
      <c r="P24">
        <f t="shared" si="0"/>
        <v>1</v>
      </c>
      <c r="Q24">
        <f t="shared" si="1"/>
        <v>0</v>
      </c>
      <c r="R24">
        <f t="shared" si="2"/>
        <v>1</v>
      </c>
      <c r="S24">
        <f t="shared" si="3"/>
        <v>0</v>
      </c>
      <c r="T24">
        <f t="shared" si="4"/>
        <v>0</v>
      </c>
    </row>
    <row r="25" spans="1:20">
      <c r="A25" s="1" t="s">
        <v>25</v>
      </c>
      <c r="B25" s="3">
        <v>45748</v>
      </c>
      <c r="C25" s="1" t="s">
        <v>20</v>
      </c>
      <c r="D25" s="1" t="s">
        <v>16</v>
      </c>
      <c r="E25" s="1">
        <v>62060.43</v>
      </c>
      <c r="F25" s="1">
        <v>2613</v>
      </c>
      <c r="G25" s="1">
        <v>0.216</v>
      </c>
      <c r="H25" s="1">
        <v>12</v>
      </c>
      <c r="I25" s="1">
        <v>92.1</v>
      </c>
      <c r="J25" s="1">
        <v>1.55</v>
      </c>
      <c r="K25" s="1">
        <v>0</v>
      </c>
      <c r="L25" s="1">
        <v>4.7</v>
      </c>
      <c r="M25" s="1">
        <v>565810.99</v>
      </c>
      <c r="N25" s="1">
        <v>77825.460000000006</v>
      </c>
      <c r="O25">
        <f t="shared" si="5"/>
        <v>0</v>
      </c>
      <c r="P25">
        <f t="shared" si="0"/>
        <v>1</v>
      </c>
      <c r="Q25">
        <f t="shared" si="1"/>
        <v>0</v>
      </c>
      <c r="R25">
        <f t="shared" si="2"/>
        <v>1</v>
      </c>
      <c r="S25">
        <f t="shared" si="3"/>
        <v>0</v>
      </c>
      <c r="T25">
        <f t="shared" si="4"/>
        <v>0</v>
      </c>
    </row>
    <row r="26" spans="1:20">
      <c r="A26" s="1" t="s">
        <v>26</v>
      </c>
      <c r="B26" s="3">
        <v>45658</v>
      </c>
      <c r="C26" s="1" t="s">
        <v>27</v>
      </c>
      <c r="D26" s="1" t="s">
        <v>28</v>
      </c>
      <c r="E26" s="1">
        <v>57696.69</v>
      </c>
      <c r="F26" s="1">
        <v>10218</v>
      </c>
      <c r="G26" s="1">
        <v>0.121</v>
      </c>
      <c r="H26" s="1">
        <v>25</v>
      </c>
      <c r="I26" s="1">
        <v>94.8</v>
      </c>
      <c r="J26" s="1">
        <v>2.99</v>
      </c>
      <c r="K26" s="1">
        <v>0</v>
      </c>
      <c r="L26" s="1">
        <v>3.5</v>
      </c>
      <c r="M26" s="1">
        <v>811771.14</v>
      </c>
      <c r="N26" s="1">
        <v>148756.24</v>
      </c>
      <c r="O26">
        <f t="shared" si="5"/>
        <v>0</v>
      </c>
      <c r="P26">
        <f t="shared" si="0"/>
        <v>0</v>
      </c>
      <c r="Q26">
        <f t="shared" si="1"/>
        <v>0</v>
      </c>
      <c r="R26">
        <f t="shared" si="2"/>
        <v>0</v>
      </c>
      <c r="S26">
        <f t="shared" si="3"/>
        <v>0</v>
      </c>
      <c r="T26">
        <f t="shared" si="4"/>
        <v>0</v>
      </c>
    </row>
    <row r="27" spans="1:20">
      <c r="A27" s="1" t="s">
        <v>26</v>
      </c>
      <c r="B27" s="3">
        <v>45689</v>
      </c>
      <c r="C27" s="1" t="s">
        <v>27</v>
      </c>
      <c r="D27" s="1" t="s">
        <v>28</v>
      </c>
      <c r="E27" s="1">
        <v>172415.52</v>
      </c>
      <c r="F27" s="1">
        <v>8927</v>
      </c>
      <c r="G27" s="1">
        <v>0.14000000000000001</v>
      </c>
      <c r="H27" s="1">
        <v>22</v>
      </c>
      <c r="I27" s="1">
        <v>86.2</v>
      </c>
      <c r="J27" s="1">
        <v>7.04</v>
      </c>
      <c r="K27" s="1">
        <v>0</v>
      </c>
      <c r="L27" s="1">
        <v>3.9</v>
      </c>
      <c r="M27" s="1">
        <v>800451.94</v>
      </c>
      <c r="N27" s="1">
        <v>111572.29</v>
      </c>
      <c r="O27">
        <f t="shared" si="5"/>
        <v>0</v>
      </c>
      <c r="P27">
        <f t="shared" si="0"/>
        <v>0</v>
      </c>
      <c r="Q27">
        <f t="shared" si="1"/>
        <v>0</v>
      </c>
      <c r="R27">
        <f t="shared" si="2"/>
        <v>0</v>
      </c>
      <c r="S27">
        <f t="shared" si="3"/>
        <v>0</v>
      </c>
      <c r="T27">
        <f t="shared" si="4"/>
        <v>0</v>
      </c>
    </row>
    <row r="28" spans="1:20">
      <c r="A28" s="1" t="s">
        <v>26</v>
      </c>
      <c r="B28" s="3">
        <v>45717</v>
      </c>
      <c r="C28" s="1" t="s">
        <v>27</v>
      </c>
      <c r="D28" s="1" t="s">
        <v>28</v>
      </c>
      <c r="E28" s="1">
        <v>55270.52</v>
      </c>
      <c r="F28" s="1">
        <v>9315</v>
      </c>
      <c r="G28" s="1">
        <v>0.16900000000000001</v>
      </c>
      <c r="H28" s="1">
        <v>23</v>
      </c>
      <c r="I28" s="1">
        <v>91.9</v>
      </c>
      <c r="J28" s="1">
        <v>4.9400000000000004</v>
      </c>
      <c r="K28" s="1">
        <v>0</v>
      </c>
      <c r="L28" s="1">
        <v>4</v>
      </c>
      <c r="M28" s="1">
        <v>783672.82</v>
      </c>
      <c r="N28" s="1">
        <v>112577.14</v>
      </c>
      <c r="O28">
        <f t="shared" si="5"/>
        <v>0</v>
      </c>
      <c r="P28">
        <f t="shared" si="0"/>
        <v>0</v>
      </c>
      <c r="Q28">
        <f t="shared" si="1"/>
        <v>0</v>
      </c>
      <c r="R28">
        <f t="shared" si="2"/>
        <v>0</v>
      </c>
      <c r="S28">
        <f t="shared" si="3"/>
        <v>0</v>
      </c>
      <c r="T28">
        <f t="shared" si="4"/>
        <v>0</v>
      </c>
    </row>
    <row r="29" spans="1:20">
      <c r="A29" s="1" t="s">
        <v>26</v>
      </c>
      <c r="B29" s="3">
        <v>45748</v>
      </c>
      <c r="C29" s="1" t="s">
        <v>27</v>
      </c>
      <c r="D29" s="1" t="s">
        <v>28</v>
      </c>
      <c r="E29" s="1">
        <v>52715.1</v>
      </c>
      <c r="F29" s="1">
        <v>7223</v>
      </c>
      <c r="G29" s="1">
        <v>0.122</v>
      </c>
      <c r="H29" s="1">
        <v>16</v>
      </c>
      <c r="I29" s="1">
        <v>84.2</v>
      </c>
      <c r="J29" s="1">
        <v>16.149999999999999</v>
      </c>
      <c r="K29" s="1">
        <v>0</v>
      </c>
      <c r="L29" s="1">
        <v>3.7</v>
      </c>
      <c r="M29" s="1">
        <v>701641.97</v>
      </c>
      <c r="N29" s="1">
        <v>106111.86</v>
      </c>
      <c r="O29">
        <f t="shared" si="5"/>
        <v>0</v>
      </c>
      <c r="P29">
        <f t="shared" si="0"/>
        <v>0</v>
      </c>
      <c r="Q29">
        <f t="shared" si="1"/>
        <v>0</v>
      </c>
      <c r="R29">
        <f t="shared" si="2"/>
        <v>0</v>
      </c>
      <c r="S29">
        <f t="shared" si="3"/>
        <v>0</v>
      </c>
      <c r="T29">
        <f t="shared" si="4"/>
        <v>0</v>
      </c>
    </row>
    <row r="30" spans="1:20">
      <c r="A30" s="1" t="s">
        <v>29</v>
      </c>
      <c r="B30" s="3">
        <v>45658</v>
      </c>
      <c r="C30" s="1" t="s">
        <v>15</v>
      </c>
      <c r="D30" s="1" t="s">
        <v>16</v>
      </c>
      <c r="E30" s="1">
        <v>68600.62</v>
      </c>
      <c r="F30" s="1">
        <v>3988</v>
      </c>
      <c r="G30" s="1">
        <v>0.124</v>
      </c>
      <c r="H30" s="1">
        <v>11</v>
      </c>
      <c r="I30" s="1">
        <v>85</v>
      </c>
      <c r="J30" s="1">
        <v>0.48</v>
      </c>
      <c r="K30" s="1">
        <v>0</v>
      </c>
      <c r="L30" s="1">
        <v>3.6</v>
      </c>
      <c r="M30" s="1">
        <v>511844.41</v>
      </c>
      <c r="N30" s="1">
        <v>72774.44</v>
      </c>
      <c r="O30">
        <f t="shared" si="5"/>
        <v>1</v>
      </c>
      <c r="P30">
        <f t="shared" si="0"/>
        <v>0</v>
      </c>
      <c r="Q30">
        <f t="shared" si="1"/>
        <v>0</v>
      </c>
      <c r="R30">
        <f t="shared" si="2"/>
        <v>1</v>
      </c>
      <c r="S30">
        <f t="shared" si="3"/>
        <v>0</v>
      </c>
      <c r="T30">
        <f t="shared" si="4"/>
        <v>0</v>
      </c>
    </row>
    <row r="31" spans="1:20">
      <c r="A31" s="1" t="s">
        <v>29</v>
      </c>
      <c r="B31" s="3">
        <v>45689</v>
      </c>
      <c r="C31" s="1" t="s">
        <v>15</v>
      </c>
      <c r="D31" s="1" t="s">
        <v>16</v>
      </c>
      <c r="E31" s="1">
        <v>63176.73</v>
      </c>
      <c r="F31" s="1">
        <v>2390</v>
      </c>
      <c r="G31" s="1">
        <v>0.216</v>
      </c>
      <c r="H31" s="1">
        <v>9</v>
      </c>
      <c r="I31" s="1">
        <v>87.5</v>
      </c>
      <c r="J31" s="1">
        <v>0.31</v>
      </c>
      <c r="K31" s="1">
        <v>0</v>
      </c>
      <c r="L31" s="1">
        <v>3.1</v>
      </c>
      <c r="M31" s="1">
        <v>537383.79</v>
      </c>
      <c r="N31" s="1">
        <v>63773.27</v>
      </c>
      <c r="O31">
        <f t="shared" si="5"/>
        <v>1</v>
      </c>
      <c r="P31">
        <f t="shared" si="0"/>
        <v>0</v>
      </c>
      <c r="Q31">
        <f t="shared" si="1"/>
        <v>0</v>
      </c>
      <c r="R31">
        <f t="shared" si="2"/>
        <v>1</v>
      </c>
      <c r="S31">
        <f t="shared" si="3"/>
        <v>0</v>
      </c>
      <c r="T31">
        <f t="shared" si="4"/>
        <v>0</v>
      </c>
    </row>
    <row r="32" spans="1:20">
      <c r="A32" s="1" t="s">
        <v>29</v>
      </c>
      <c r="B32" s="3">
        <v>45717</v>
      </c>
      <c r="C32" s="1" t="s">
        <v>15</v>
      </c>
      <c r="D32" s="1" t="s">
        <v>16</v>
      </c>
      <c r="E32" s="1">
        <v>44970.080000000002</v>
      </c>
      <c r="F32" s="1">
        <v>2471</v>
      </c>
      <c r="G32" s="1">
        <v>0.13600000000000001</v>
      </c>
      <c r="H32" s="1">
        <v>11</v>
      </c>
      <c r="I32" s="1">
        <v>87.6</v>
      </c>
      <c r="J32" s="1">
        <v>3.01</v>
      </c>
      <c r="K32" s="1">
        <v>1</v>
      </c>
      <c r="L32" s="1">
        <v>3.7</v>
      </c>
      <c r="M32" s="1">
        <v>500173.02</v>
      </c>
      <c r="N32" s="1">
        <v>70982.05</v>
      </c>
      <c r="O32">
        <f t="shared" si="5"/>
        <v>1</v>
      </c>
      <c r="P32">
        <f t="shared" si="0"/>
        <v>0</v>
      </c>
      <c r="Q32">
        <f t="shared" si="1"/>
        <v>0</v>
      </c>
      <c r="R32">
        <f t="shared" si="2"/>
        <v>1</v>
      </c>
      <c r="S32">
        <f t="shared" si="3"/>
        <v>0</v>
      </c>
      <c r="T32">
        <f t="shared" si="4"/>
        <v>0</v>
      </c>
    </row>
    <row r="33" spans="1:20">
      <c r="A33" s="1" t="s">
        <v>29</v>
      </c>
      <c r="B33" s="3">
        <v>45748</v>
      </c>
      <c r="C33" s="1" t="s">
        <v>15</v>
      </c>
      <c r="D33" s="1" t="s">
        <v>16</v>
      </c>
      <c r="E33" s="1">
        <v>69816.350000000006</v>
      </c>
      <c r="F33" s="1">
        <v>971</v>
      </c>
      <c r="G33" s="1">
        <v>0.16800000000000001</v>
      </c>
      <c r="H33" s="1">
        <v>5</v>
      </c>
      <c r="I33" s="1">
        <v>89.9</v>
      </c>
      <c r="J33" s="1">
        <v>12.15</v>
      </c>
      <c r="K33" s="1">
        <v>0</v>
      </c>
      <c r="L33" s="1">
        <v>3.6</v>
      </c>
      <c r="M33" s="1">
        <v>427917.38</v>
      </c>
      <c r="N33" s="1">
        <v>81824.31</v>
      </c>
      <c r="O33">
        <f t="shared" si="5"/>
        <v>1</v>
      </c>
      <c r="P33">
        <f t="shared" si="0"/>
        <v>0</v>
      </c>
      <c r="Q33">
        <f t="shared" si="1"/>
        <v>0</v>
      </c>
      <c r="R33">
        <f t="shared" si="2"/>
        <v>1</v>
      </c>
      <c r="S33">
        <f t="shared" si="3"/>
        <v>0</v>
      </c>
      <c r="T33">
        <f t="shared" si="4"/>
        <v>0</v>
      </c>
    </row>
    <row r="34" spans="1:20">
      <c r="A34" s="1" t="s">
        <v>30</v>
      </c>
      <c r="B34" s="3">
        <v>45658</v>
      </c>
      <c r="C34" s="1" t="s">
        <v>20</v>
      </c>
      <c r="D34" s="1" t="s">
        <v>16</v>
      </c>
      <c r="E34" s="1">
        <v>54597.83</v>
      </c>
      <c r="F34" s="1">
        <v>9429</v>
      </c>
      <c r="G34" s="1">
        <v>0.188</v>
      </c>
      <c r="H34" s="1">
        <v>21</v>
      </c>
      <c r="I34" s="1">
        <v>83.3</v>
      </c>
      <c r="J34" s="1">
        <v>11.71</v>
      </c>
      <c r="K34" s="1">
        <v>0</v>
      </c>
      <c r="L34" s="1">
        <v>4.2</v>
      </c>
      <c r="M34" s="1">
        <v>641865.03</v>
      </c>
      <c r="N34" s="1">
        <v>81342.58</v>
      </c>
      <c r="O34">
        <f t="shared" si="5"/>
        <v>0</v>
      </c>
      <c r="P34">
        <f t="shared" si="0"/>
        <v>1</v>
      </c>
      <c r="Q34">
        <f t="shared" si="1"/>
        <v>0</v>
      </c>
      <c r="R34">
        <f t="shared" si="2"/>
        <v>1</v>
      </c>
      <c r="S34">
        <f t="shared" si="3"/>
        <v>0</v>
      </c>
      <c r="T34">
        <f t="shared" si="4"/>
        <v>0</v>
      </c>
    </row>
    <row r="35" spans="1:20">
      <c r="A35" s="1" t="s">
        <v>30</v>
      </c>
      <c r="B35" s="3">
        <v>45689</v>
      </c>
      <c r="C35" s="1" t="s">
        <v>20</v>
      </c>
      <c r="D35" s="1" t="s">
        <v>16</v>
      </c>
      <c r="E35" s="1">
        <v>73771.91</v>
      </c>
      <c r="F35" s="1">
        <v>11695</v>
      </c>
      <c r="G35" s="1">
        <v>7.0000000000000007E-2</v>
      </c>
      <c r="H35" s="1">
        <v>25</v>
      </c>
      <c r="I35" s="1">
        <v>84.7</v>
      </c>
      <c r="J35" s="1">
        <v>0.62</v>
      </c>
      <c r="K35" s="1">
        <v>0</v>
      </c>
      <c r="L35" s="1">
        <f>AVERAGE(J:J)</f>
        <v>4.5590445859872624</v>
      </c>
      <c r="M35" s="1">
        <v>799477.76000000001</v>
      </c>
      <c r="N35" s="1">
        <v>164974.41</v>
      </c>
      <c r="O35">
        <f t="shared" si="5"/>
        <v>0</v>
      </c>
      <c r="P35">
        <f t="shared" si="0"/>
        <v>1</v>
      </c>
      <c r="Q35">
        <f t="shared" si="1"/>
        <v>0</v>
      </c>
      <c r="R35">
        <f t="shared" si="2"/>
        <v>1</v>
      </c>
      <c r="S35">
        <f t="shared" si="3"/>
        <v>0</v>
      </c>
      <c r="T35">
        <f t="shared" si="4"/>
        <v>0</v>
      </c>
    </row>
    <row r="36" spans="1:20">
      <c r="A36" s="1" t="s">
        <v>30</v>
      </c>
      <c r="B36" s="3">
        <v>45717</v>
      </c>
      <c r="C36" s="1" t="s">
        <v>20</v>
      </c>
      <c r="D36" s="1" t="s">
        <v>16</v>
      </c>
      <c r="E36" s="1">
        <v>74413.88</v>
      </c>
      <c r="F36" s="1">
        <v>9449</v>
      </c>
      <c r="G36" s="1">
        <v>3.9E-2</v>
      </c>
      <c r="H36" s="1">
        <v>23</v>
      </c>
      <c r="I36" s="1">
        <v>92.1</v>
      </c>
      <c r="J36" s="1">
        <v>2.12</v>
      </c>
      <c r="K36" s="1">
        <v>0</v>
      </c>
      <c r="L36" s="1">
        <v>3.5</v>
      </c>
      <c r="M36" s="1">
        <v>798952.17</v>
      </c>
      <c r="N36" s="1">
        <v>161499.04</v>
      </c>
      <c r="O36">
        <f t="shared" si="5"/>
        <v>0</v>
      </c>
      <c r="P36">
        <f t="shared" si="0"/>
        <v>1</v>
      </c>
      <c r="Q36">
        <f t="shared" si="1"/>
        <v>0</v>
      </c>
      <c r="R36">
        <f t="shared" si="2"/>
        <v>1</v>
      </c>
      <c r="S36">
        <f t="shared" si="3"/>
        <v>0</v>
      </c>
      <c r="T36">
        <f t="shared" si="4"/>
        <v>0</v>
      </c>
    </row>
    <row r="37" spans="1:20">
      <c r="A37" s="1" t="s">
        <v>30</v>
      </c>
      <c r="B37" s="3">
        <v>45748</v>
      </c>
      <c r="C37" s="1" t="s">
        <v>20</v>
      </c>
      <c r="D37" s="1" t="s">
        <v>16</v>
      </c>
      <c r="E37" s="1">
        <v>52483.77</v>
      </c>
      <c r="F37" s="1">
        <v>10453</v>
      </c>
      <c r="G37" s="1">
        <v>0.247</v>
      </c>
      <c r="H37" s="1">
        <v>25</v>
      </c>
      <c r="I37" s="1">
        <v>99</v>
      </c>
      <c r="J37" s="1">
        <v>6.31</v>
      </c>
      <c r="K37" s="1">
        <v>0</v>
      </c>
      <c r="L37" s="1">
        <v>3.6</v>
      </c>
      <c r="M37" s="1">
        <v>800979.78</v>
      </c>
      <c r="N37" s="1">
        <v>149242.26999999999</v>
      </c>
      <c r="O37">
        <f t="shared" si="5"/>
        <v>0</v>
      </c>
      <c r="P37">
        <f t="shared" si="0"/>
        <v>1</v>
      </c>
      <c r="Q37">
        <f t="shared" si="1"/>
        <v>0</v>
      </c>
      <c r="R37">
        <f t="shared" si="2"/>
        <v>1</v>
      </c>
      <c r="S37">
        <f t="shared" si="3"/>
        <v>0</v>
      </c>
      <c r="T37">
        <f t="shared" si="4"/>
        <v>0</v>
      </c>
    </row>
    <row r="38" spans="1:20">
      <c r="A38" s="1" t="s">
        <v>31</v>
      </c>
      <c r="B38" s="3">
        <v>45658</v>
      </c>
      <c r="C38" s="1" t="s">
        <v>20</v>
      </c>
      <c r="D38" s="1" t="s">
        <v>28</v>
      </c>
      <c r="E38" s="1">
        <v>75269.87</v>
      </c>
      <c r="F38" s="1">
        <v>8838</v>
      </c>
      <c r="G38" s="1">
        <v>9.1999999999999998E-2</v>
      </c>
      <c r="H38" s="1">
        <v>21</v>
      </c>
      <c r="I38" s="1">
        <v>83.1</v>
      </c>
      <c r="J38" s="1">
        <v>9.56</v>
      </c>
      <c r="K38" s="1">
        <v>1</v>
      </c>
      <c r="L38" s="1">
        <v>4.2</v>
      </c>
      <c r="M38" s="1">
        <v>820593.93</v>
      </c>
      <c r="N38" s="1">
        <v>115860.06</v>
      </c>
      <c r="O38">
        <f t="shared" si="5"/>
        <v>0</v>
      </c>
      <c r="P38">
        <f t="shared" si="0"/>
        <v>1</v>
      </c>
      <c r="Q38">
        <f t="shared" si="1"/>
        <v>0</v>
      </c>
      <c r="R38">
        <f t="shared" si="2"/>
        <v>0</v>
      </c>
      <c r="S38">
        <f t="shared" si="3"/>
        <v>0</v>
      </c>
      <c r="T38">
        <f t="shared" si="4"/>
        <v>0</v>
      </c>
    </row>
    <row r="39" spans="1:20">
      <c r="A39" s="1" t="s">
        <v>31</v>
      </c>
      <c r="B39" s="3">
        <v>45689</v>
      </c>
      <c r="C39" s="1" t="s">
        <v>20</v>
      </c>
      <c r="D39" s="1" t="s">
        <v>28</v>
      </c>
      <c r="E39" s="1">
        <v>61245.41</v>
      </c>
      <c r="F39" s="1">
        <v>8156</v>
      </c>
      <c r="G39" s="1">
        <v>0.156</v>
      </c>
      <c r="H39" s="1">
        <v>19</v>
      </c>
      <c r="I39" s="1">
        <v>92.9</v>
      </c>
      <c r="J39" s="1">
        <v>9.0500000000000007</v>
      </c>
      <c r="K39" s="1">
        <v>0</v>
      </c>
      <c r="L39" s="1">
        <v>3.8</v>
      </c>
      <c r="M39" s="1">
        <v>718330.53</v>
      </c>
      <c r="N39" s="1">
        <v>93247.9</v>
      </c>
      <c r="O39">
        <f t="shared" si="5"/>
        <v>0</v>
      </c>
      <c r="P39">
        <f t="shared" si="0"/>
        <v>1</v>
      </c>
      <c r="Q39">
        <f t="shared" si="1"/>
        <v>0</v>
      </c>
      <c r="R39">
        <f t="shared" si="2"/>
        <v>0</v>
      </c>
      <c r="S39">
        <f t="shared" si="3"/>
        <v>0</v>
      </c>
      <c r="T39">
        <f t="shared" si="4"/>
        <v>0</v>
      </c>
    </row>
    <row r="40" spans="1:20">
      <c r="A40" s="1" t="s">
        <v>31</v>
      </c>
      <c r="B40" s="3">
        <v>45717</v>
      </c>
      <c r="C40" s="1" t="s">
        <v>20</v>
      </c>
      <c r="D40" s="1" t="s">
        <v>28</v>
      </c>
      <c r="E40" s="1">
        <v>93381.26</v>
      </c>
      <c r="F40" s="1">
        <v>7562</v>
      </c>
      <c r="G40" s="1">
        <v>0.19800000000000001</v>
      </c>
      <c r="H40" s="1">
        <v>19</v>
      </c>
      <c r="I40" s="1">
        <v>82.9</v>
      </c>
      <c r="J40" s="1">
        <v>5.05</v>
      </c>
      <c r="K40" s="1">
        <v>0</v>
      </c>
      <c r="L40" s="1">
        <v>4</v>
      </c>
      <c r="M40" s="1">
        <v>736633.4</v>
      </c>
      <c r="N40" s="1">
        <v>115654.66</v>
      </c>
      <c r="O40">
        <f t="shared" si="5"/>
        <v>0</v>
      </c>
      <c r="P40">
        <f t="shared" si="0"/>
        <v>1</v>
      </c>
      <c r="Q40">
        <f t="shared" si="1"/>
        <v>0</v>
      </c>
      <c r="R40">
        <f t="shared" si="2"/>
        <v>0</v>
      </c>
      <c r="S40">
        <f t="shared" si="3"/>
        <v>0</v>
      </c>
      <c r="T40">
        <f t="shared" si="4"/>
        <v>0</v>
      </c>
    </row>
    <row r="41" spans="1:20">
      <c r="A41" s="1" t="s">
        <v>31</v>
      </c>
      <c r="B41" s="3">
        <v>45748</v>
      </c>
      <c r="C41" s="1" t="s">
        <v>20</v>
      </c>
      <c r="D41" s="1" t="s">
        <v>28</v>
      </c>
      <c r="E41" s="1">
        <v>65012.19</v>
      </c>
      <c r="F41" s="1">
        <v>9598</v>
      </c>
      <c r="G41" s="1">
        <v>8.5000000000000006E-2</v>
      </c>
      <c r="H41" s="1">
        <v>24</v>
      </c>
      <c r="I41" s="1">
        <v>98.3</v>
      </c>
      <c r="J41" s="1">
        <v>0.89</v>
      </c>
      <c r="K41" s="1">
        <v>0</v>
      </c>
      <c r="L41" s="1">
        <v>3.8</v>
      </c>
      <c r="M41" s="1">
        <v>828623.85</v>
      </c>
      <c r="N41" s="1">
        <v>167320.51999999999</v>
      </c>
      <c r="O41">
        <f t="shared" si="5"/>
        <v>0</v>
      </c>
      <c r="P41">
        <f t="shared" si="0"/>
        <v>1</v>
      </c>
      <c r="Q41">
        <f t="shared" si="1"/>
        <v>0</v>
      </c>
      <c r="R41">
        <f t="shared" si="2"/>
        <v>0</v>
      </c>
      <c r="S41">
        <f t="shared" si="3"/>
        <v>0</v>
      </c>
      <c r="T41">
        <f t="shared" si="4"/>
        <v>0</v>
      </c>
    </row>
    <row r="42" spans="1:20">
      <c r="A42" s="1" t="s">
        <v>32</v>
      </c>
      <c r="B42" s="3">
        <v>45658</v>
      </c>
      <c r="C42" s="1" t="s">
        <v>15</v>
      </c>
      <c r="D42" s="1" t="s">
        <v>28</v>
      </c>
      <c r="E42" s="1">
        <v>40462.94</v>
      </c>
      <c r="F42" s="1">
        <v>3660</v>
      </c>
      <c r="G42" s="1">
        <v>0.218</v>
      </c>
      <c r="H42" s="1">
        <v>11</v>
      </c>
      <c r="I42" s="1">
        <v>95.2</v>
      </c>
      <c r="J42" s="1">
        <v>5.57</v>
      </c>
      <c r="K42" s="1">
        <v>0</v>
      </c>
      <c r="L42" s="1">
        <v>4.4000000000000004</v>
      </c>
      <c r="M42" s="1">
        <v>592195.85</v>
      </c>
      <c r="N42" s="1">
        <v>92291.56</v>
      </c>
      <c r="O42">
        <f t="shared" si="5"/>
        <v>1</v>
      </c>
      <c r="P42">
        <f t="shared" si="0"/>
        <v>0</v>
      </c>
      <c r="Q42">
        <f t="shared" si="1"/>
        <v>0</v>
      </c>
      <c r="R42">
        <f t="shared" si="2"/>
        <v>0</v>
      </c>
      <c r="S42">
        <f t="shared" si="3"/>
        <v>0</v>
      </c>
      <c r="T42">
        <f t="shared" si="4"/>
        <v>0</v>
      </c>
    </row>
    <row r="43" spans="1:20">
      <c r="A43" s="1" t="s">
        <v>32</v>
      </c>
      <c r="B43" s="3">
        <v>45689</v>
      </c>
      <c r="C43" s="1" t="s">
        <v>15</v>
      </c>
      <c r="D43" s="1" t="s">
        <v>28</v>
      </c>
      <c r="E43" s="1">
        <v>46123.88</v>
      </c>
      <c r="F43" s="1">
        <v>3227</v>
      </c>
      <c r="G43" s="1">
        <v>0.14299999999999999</v>
      </c>
      <c r="H43" s="1">
        <v>10</v>
      </c>
      <c r="I43" s="1">
        <v>75.400000000000006</v>
      </c>
      <c r="J43" s="1">
        <v>1.06</v>
      </c>
      <c r="K43" s="1">
        <v>0</v>
      </c>
      <c r="L43" s="1">
        <v>4.4000000000000004</v>
      </c>
      <c r="M43" s="1">
        <v>532644.46</v>
      </c>
      <c r="N43" s="1">
        <v>60681.32</v>
      </c>
      <c r="O43">
        <f t="shared" si="5"/>
        <v>1</v>
      </c>
      <c r="P43">
        <f t="shared" si="0"/>
        <v>0</v>
      </c>
      <c r="Q43">
        <f t="shared" si="1"/>
        <v>0</v>
      </c>
      <c r="R43">
        <f t="shared" si="2"/>
        <v>0</v>
      </c>
      <c r="S43">
        <f t="shared" si="3"/>
        <v>0</v>
      </c>
      <c r="T43">
        <f t="shared" si="4"/>
        <v>0</v>
      </c>
    </row>
    <row r="44" spans="1:20">
      <c r="A44" s="1" t="s">
        <v>32</v>
      </c>
      <c r="B44" s="3">
        <v>45717</v>
      </c>
      <c r="C44" s="1" t="s">
        <v>15</v>
      </c>
      <c r="D44" s="1" t="s">
        <v>28</v>
      </c>
      <c r="E44" s="1">
        <v>68077.539999999994</v>
      </c>
      <c r="F44" s="1">
        <v>3360</v>
      </c>
      <c r="G44" s="1">
        <v>0.128</v>
      </c>
      <c r="H44" s="1">
        <v>14</v>
      </c>
      <c r="I44" s="1">
        <v>88.2</v>
      </c>
      <c r="J44" s="1">
        <v>1.24</v>
      </c>
      <c r="K44" s="1">
        <v>1</v>
      </c>
      <c r="L44" s="1">
        <v>4</v>
      </c>
      <c r="M44" s="1">
        <v>657429.18000000005</v>
      </c>
      <c r="N44" s="1">
        <v>88919.74</v>
      </c>
      <c r="O44">
        <f t="shared" si="5"/>
        <v>1</v>
      </c>
      <c r="P44">
        <f t="shared" si="0"/>
        <v>0</v>
      </c>
      <c r="Q44">
        <f t="shared" si="1"/>
        <v>0</v>
      </c>
      <c r="R44">
        <f t="shared" si="2"/>
        <v>0</v>
      </c>
      <c r="S44">
        <f t="shared" si="3"/>
        <v>0</v>
      </c>
      <c r="T44">
        <f t="shared" si="4"/>
        <v>0</v>
      </c>
    </row>
    <row r="45" spans="1:20">
      <c r="A45" s="1" t="s">
        <v>32</v>
      </c>
      <c r="B45" s="3">
        <v>45748</v>
      </c>
      <c r="C45" s="1" t="s">
        <v>15</v>
      </c>
      <c r="D45" s="1" t="s">
        <v>28</v>
      </c>
      <c r="E45" s="1">
        <v>64882.14</v>
      </c>
      <c r="F45" s="1">
        <v>3642</v>
      </c>
      <c r="G45" s="1">
        <v>1.9E-2</v>
      </c>
      <c r="H45" s="1">
        <v>13</v>
      </c>
      <c r="I45" s="1">
        <v>87.8</v>
      </c>
      <c r="J45" s="1">
        <v>4.5199999999999996</v>
      </c>
      <c r="K45" s="1">
        <v>0</v>
      </c>
      <c r="L45" s="1">
        <v>4.2</v>
      </c>
      <c r="M45" s="1">
        <v>605178</v>
      </c>
      <c r="N45" s="1">
        <v>106958.74</v>
      </c>
      <c r="O45">
        <f t="shared" si="5"/>
        <v>1</v>
      </c>
      <c r="P45">
        <f t="shared" si="0"/>
        <v>0</v>
      </c>
      <c r="Q45">
        <f t="shared" si="1"/>
        <v>0</v>
      </c>
      <c r="R45">
        <f t="shared" si="2"/>
        <v>0</v>
      </c>
      <c r="S45">
        <f t="shared" si="3"/>
        <v>0</v>
      </c>
      <c r="T45">
        <f t="shared" si="4"/>
        <v>0</v>
      </c>
    </row>
    <row r="46" spans="1:20">
      <c r="A46" s="1" t="s">
        <v>33</v>
      </c>
      <c r="B46" s="3">
        <v>45658</v>
      </c>
      <c r="C46" s="1" t="s">
        <v>27</v>
      </c>
      <c r="D46" s="1" t="s">
        <v>16</v>
      </c>
      <c r="E46" s="1">
        <v>138855.51</v>
      </c>
      <c r="F46" s="1">
        <v>5145</v>
      </c>
      <c r="G46" s="1">
        <v>0.06</v>
      </c>
      <c r="H46" s="1">
        <v>17</v>
      </c>
      <c r="I46" s="1">
        <v>88.2</v>
      </c>
      <c r="J46" s="1">
        <v>9.58</v>
      </c>
      <c r="K46" s="1">
        <v>0</v>
      </c>
      <c r="L46" s="1">
        <v>3.2</v>
      </c>
      <c r="M46" s="1">
        <v>595467.6</v>
      </c>
      <c r="N46" s="1">
        <v>104276.46</v>
      </c>
      <c r="O46">
        <f t="shared" si="5"/>
        <v>0</v>
      </c>
      <c r="P46">
        <f t="shared" si="0"/>
        <v>0</v>
      </c>
      <c r="Q46">
        <f t="shared" si="1"/>
        <v>0</v>
      </c>
      <c r="R46">
        <f t="shared" si="2"/>
        <v>1</v>
      </c>
      <c r="S46">
        <f t="shared" si="3"/>
        <v>0</v>
      </c>
      <c r="T46">
        <f t="shared" si="4"/>
        <v>0</v>
      </c>
    </row>
    <row r="47" spans="1:20">
      <c r="A47" s="1" t="s">
        <v>33</v>
      </c>
      <c r="B47" s="3">
        <v>45689</v>
      </c>
      <c r="C47" s="1" t="s">
        <v>27</v>
      </c>
      <c r="D47" s="1" t="s">
        <v>16</v>
      </c>
      <c r="E47" s="1">
        <v>63630.21</v>
      </c>
      <c r="F47" s="1">
        <v>4460</v>
      </c>
      <c r="G47" s="1">
        <v>0.23499999999999999</v>
      </c>
      <c r="H47" s="1">
        <v>14</v>
      </c>
      <c r="I47" s="1">
        <v>98.6</v>
      </c>
      <c r="J47" s="1">
        <v>5.52</v>
      </c>
      <c r="K47" s="1">
        <v>0</v>
      </c>
      <c r="L47" s="1">
        <v>3.5</v>
      </c>
      <c r="M47" s="1">
        <v>599603.4</v>
      </c>
      <c r="N47" s="1">
        <v>112685.12</v>
      </c>
      <c r="O47">
        <f t="shared" si="5"/>
        <v>0</v>
      </c>
      <c r="P47">
        <f t="shared" si="0"/>
        <v>0</v>
      </c>
      <c r="Q47">
        <f t="shared" si="1"/>
        <v>0</v>
      </c>
      <c r="R47">
        <f t="shared" si="2"/>
        <v>1</v>
      </c>
      <c r="S47">
        <f t="shared" si="3"/>
        <v>0</v>
      </c>
      <c r="T47">
        <f t="shared" si="4"/>
        <v>0</v>
      </c>
    </row>
    <row r="48" spans="1:20">
      <c r="A48" s="1" t="s">
        <v>33</v>
      </c>
      <c r="B48" s="3">
        <v>45717</v>
      </c>
      <c r="C48" s="1" t="s">
        <v>27</v>
      </c>
      <c r="D48" s="1" t="s">
        <v>16</v>
      </c>
      <c r="E48" s="1">
        <v>50043.65</v>
      </c>
      <c r="F48" s="1">
        <v>3804</v>
      </c>
      <c r="G48" s="1">
        <v>0.113</v>
      </c>
      <c r="H48" s="1">
        <v>11</v>
      </c>
      <c r="I48" s="1">
        <v>90.9</v>
      </c>
      <c r="J48" s="1">
        <v>2.7</v>
      </c>
      <c r="K48" s="1">
        <v>1</v>
      </c>
      <c r="L48" s="1">
        <v>3.2</v>
      </c>
      <c r="M48" s="1">
        <v>614800.09</v>
      </c>
      <c r="N48" s="1">
        <v>100044.2</v>
      </c>
      <c r="O48">
        <f t="shared" si="5"/>
        <v>0</v>
      </c>
      <c r="P48">
        <f t="shared" si="0"/>
        <v>0</v>
      </c>
      <c r="Q48">
        <f t="shared" si="1"/>
        <v>0</v>
      </c>
      <c r="R48">
        <f t="shared" si="2"/>
        <v>1</v>
      </c>
      <c r="S48">
        <f t="shared" si="3"/>
        <v>0</v>
      </c>
      <c r="T48">
        <f t="shared" si="4"/>
        <v>0</v>
      </c>
    </row>
    <row r="49" spans="1:20">
      <c r="A49" s="1" t="s">
        <v>33</v>
      </c>
      <c r="B49" s="3">
        <v>45748</v>
      </c>
      <c r="C49" s="1" t="s">
        <v>27</v>
      </c>
      <c r="D49" s="1" t="s">
        <v>16</v>
      </c>
      <c r="E49" s="1">
        <v>42093.84</v>
      </c>
      <c r="F49" s="1">
        <v>4074</v>
      </c>
      <c r="G49" s="1">
        <v>0.155</v>
      </c>
      <c r="H49" s="1">
        <v>15</v>
      </c>
      <c r="I49" s="1">
        <v>88</v>
      </c>
      <c r="J49" s="1">
        <v>9.64</v>
      </c>
      <c r="K49" s="1">
        <v>0</v>
      </c>
      <c r="L49" s="1">
        <v>3.3</v>
      </c>
      <c r="M49" s="1">
        <v>585365.73</v>
      </c>
      <c r="N49" s="1">
        <v>81011.520000000004</v>
      </c>
      <c r="O49">
        <f t="shared" si="5"/>
        <v>0</v>
      </c>
      <c r="P49">
        <f t="shared" si="0"/>
        <v>0</v>
      </c>
      <c r="Q49">
        <f t="shared" si="1"/>
        <v>0</v>
      </c>
      <c r="R49">
        <f t="shared" si="2"/>
        <v>1</v>
      </c>
      <c r="S49">
        <f t="shared" si="3"/>
        <v>0</v>
      </c>
      <c r="T49">
        <f t="shared" si="4"/>
        <v>0</v>
      </c>
    </row>
    <row r="50" spans="1:20">
      <c r="A50" s="1" t="s">
        <v>34</v>
      </c>
      <c r="B50" s="3">
        <v>45658</v>
      </c>
      <c r="C50" s="1" t="s">
        <v>20</v>
      </c>
      <c r="D50" s="1" t="s">
        <v>28</v>
      </c>
      <c r="E50" s="1">
        <v>46624.05</v>
      </c>
      <c r="F50" s="1">
        <v>5104</v>
      </c>
      <c r="G50" s="1">
        <v>0.109</v>
      </c>
      <c r="H50" s="1">
        <v>11</v>
      </c>
      <c r="I50" s="1">
        <v>97.3</v>
      </c>
      <c r="J50" s="1">
        <v>3.49</v>
      </c>
      <c r="K50" s="1">
        <v>1</v>
      </c>
      <c r="L50" s="1">
        <v>4.7</v>
      </c>
      <c r="M50" s="1">
        <v>622811.74</v>
      </c>
      <c r="N50" s="1">
        <v>109978.35</v>
      </c>
      <c r="O50">
        <f t="shared" si="5"/>
        <v>0</v>
      </c>
      <c r="P50">
        <f t="shared" si="0"/>
        <v>1</v>
      </c>
      <c r="Q50">
        <f t="shared" si="1"/>
        <v>0</v>
      </c>
      <c r="R50">
        <f t="shared" si="2"/>
        <v>0</v>
      </c>
      <c r="S50">
        <f t="shared" si="3"/>
        <v>0</v>
      </c>
      <c r="T50">
        <f t="shared" si="4"/>
        <v>0</v>
      </c>
    </row>
    <row r="51" spans="1:20">
      <c r="A51" s="1" t="s">
        <v>34</v>
      </c>
      <c r="B51" s="3">
        <v>45689</v>
      </c>
      <c r="C51" s="1" t="s">
        <v>20</v>
      </c>
      <c r="D51" s="1" t="s">
        <v>28</v>
      </c>
      <c r="E51" s="1">
        <v>49710.29</v>
      </c>
      <c r="F51" s="1">
        <v>5559</v>
      </c>
      <c r="G51" s="1">
        <v>0.218</v>
      </c>
      <c r="H51" s="1">
        <v>14</v>
      </c>
      <c r="I51" s="1">
        <v>71</v>
      </c>
      <c r="J51" s="1">
        <v>9.11</v>
      </c>
      <c r="K51" s="1">
        <v>0</v>
      </c>
      <c r="L51" s="1">
        <v>4.5999999999999996</v>
      </c>
      <c r="M51" s="1">
        <v>603297.56999999995</v>
      </c>
      <c r="N51" s="1">
        <v>60592.26</v>
      </c>
      <c r="O51">
        <f t="shared" si="5"/>
        <v>0</v>
      </c>
      <c r="P51">
        <f t="shared" si="0"/>
        <v>1</v>
      </c>
      <c r="Q51">
        <f t="shared" si="1"/>
        <v>0</v>
      </c>
      <c r="R51">
        <f t="shared" si="2"/>
        <v>0</v>
      </c>
      <c r="S51">
        <f t="shared" si="3"/>
        <v>0</v>
      </c>
      <c r="T51">
        <f t="shared" si="4"/>
        <v>0</v>
      </c>
    </row>
    <row r="52" spans="1:20">
      <c r="A52" s="1" t="s">
        <v>34</v>
      </c>
      <c r="B52" s="3">
        <v>45717</v>
      </c>
      <c r="C52" s="1" t="s">
        <v>20</v>
      </c>
      <c r="D52" s="1" t="s">
        <v>28</v>
      </c>
      <c r="E52" s="1">
        <v>48287.85</v>
      </c>
      <c r="F52" s="1">
        <v>5150</v>
      </c>
      <c r="G52" s="1">
        <v>8.0000000000000002E-3</v>
      </c>
      <c r="H52" s="1">
        <v>12</v>
      </c>
      <c r="I52" s="1">
        <v>80.400000000000006</v>
      </c>
      <c r="J52" s="1">
        <v>7.4</v>
      </c>
      <c r="K52" s="1">
        <v>0</v>
      </c>
      <c r="L52" s="1">
        <v>4.5</v>
      </c>
      <c r="M52" s="1">
        <v>625672.86</v>
      </c>
      <c r="N52" s="1">
        <v>118020.12</v>
      </c>
      <c r="O52">
        <f t="shared" si="5"/>
        <v>0</v>
      </c>
      <c r="P52">
        <f t="shared" si="0"/>
        <v>1</v>
      </c>
      <c r="Q52">
        <f t="shared" si="1"/>
        <v>0</v>
      </c>
      <c r="R52">
        <f t="shared" si="2"/>
        <v>0</v>
      </c>
      <c r="S52">
        <f t="shared" si="3"/>
        <v>0</v>
      </c>
      <c r="T52">
        <f t="shared" si="4"/>
        <v>0</v>
      </c>
    </row>
    <row r="53" spans="1:20">
      <c r="A53" s="1" t="s">
        <v>34</v>
      </c>
      <c r="B53" s="3">
        <v>45748</v>
      </c>
      <c r="C53" s="1" t="s">
        <v>20</v>
      </c>
      <c r="D53" s="1" t="s">
        <v>28</v>
      </c>
      <c r="E53" s="1">
        <v>65312.49</v>
      </c>
      <c r="F53" s="1">
        <v>7189</v>
      </c>
      <c r="G53" s="1">
        <v>0.05</v>
      </c>
      <c r="H53" s="1">
        <v>19</v>
      </c>
      <c r="I53" s="1">
        <v>93.7</v>
      </c>
      <c r="J53" s="1">
        <v>7.16</v>
      </c>
      <c r="K53" s="1">
        <v>0</v>
      </c>
      <c r="L53" s="1">
        <v>4.5999999999999996</v>
      </c>
      <c r="M53" s="1">
        <v>773815.14</v>
      </c>
      <c r="N53" s="1">
        <v>133948.39000000001</v>
      </c>
      <c r="O53">
        <f t="shared" si="5"/>
        <v>0</v>
      </c>
      <c r="P53">
        <f t="shared" si="0"/>
        <v>1</v>
      </c>
      <c r="Q53">
        <f t="shared" si="1"/>
        <v>0</v>
      </c>
      <c r="R53">
        <f t="shared" si="2"/>
        <v>0</v>
      </c>
      <c r="S53">
        <f t="shared" si="3"/>
        <v>0</v>
      </c>
      <c r="T53">
        <f t="shared" si="4"/>
        <v>0</v>
      </c>
    </row>
    <row r="54" spans="1:20">
      <c r="A54" s="1" t="s">
        <v>35</v>
      </c>
      <c r="B54" s="3">
        <v>45658</v>
      </c>
      <c r="C54" s="1" t="s">
        <v>27</v>
      </c>
      <c r="D54" s="1" t="s">
        <v>18</v>
      </c>
      <c r="E54" s="1">
        <v>53015.46</v>
      </c>
      <c r="F54" s="1">
        <v>3279</v>
      </c>
      <c r="G54" s="1">
        <v>8.6999999999999994E-2</v>
      </c>
      <c r="H54" s="1">
        <v>9</v>
      </c>
      <c r="I54" s="1">
        <v>84.3</v>
      </c>
      <c r="J54" s="1">
        <v>22.02</v>
      </c>
      <c r="K54" s="1">
        <v>0</v>
      </c>
      <c r="L54" s="1">
        <v>3.9</v>
      </c>
      <c r="M54" s="1">
        <v>463534.25</v>
      </c>
      <c r="N54" s="1">
        <v>81834.539999999994</v>
      </c>
      <c r="O54">
        <f t="shared" si="5"/>
        <v>0</v>
      </c>
      <c r="P54">
        <f t="shared" si="0"/>
        <v>0</v>
      </c>
      <c r="Q54">
        <f t="shared" si="1"/>
        <v>0</v>
      </c>
      <c r="R54">
        <f t="shared" si="2"/>
        <v>0</v>
      </c>
      <c r="S54">
        <f t="shared" si="3"/>
        <v>1</v>
      </c>
      <c r="T54">
        <f t="shared" si="4"/>
        <v>0</v>
      </c>
    </row>
    <row r="55" spans="1:20">
      <c r="A55" s="1" t="s">
        <v>35</v>
      </c>
      <c r="B55" s="3">
        <v>45689</v>
      </c>
      <c r="C55" s="1" t="s">
        <v>27</v>
      </c>
      <c r="D55" s="1" t="s">
        <v>18</v>
      </c>
      <c r="E55" s="1">
        <v>99874.01</v>
      </c>
      <c r="F55" s="1">
        <v>5887</v>
      </c>
      <c r="G55" s="1">
        <v>0.26200000000000001</v>
      </c>
      <c r="H55" s="1">
        <v>14</v>
      </c>
      <c r="I55" s="1">
        <v>88.7</v>
      </c>
      <c r="J55" s="1">
        <v>6.18</v>
      </c>
      <c r="K55" s="1">
        <v>0</v>
      </c>
      <c r="L55" s="1">
        <v>4.7</v>
      </c>
      <c r="M55" s="1">
        <v>746677.75</v>
      </c>
      <c r="N55" s="1">
        <v>122437.84</v>
      </c>
      <c r="O55">
        <f t="shared" si="5"/>
        <v>0</v>
      </c>
      <c r="P55">
        <f t="shared" si="0"/>
        <v>0</v>
      </c>
      <c r="Q55">
        <f t="shared" si="1"/>
        <v>0</v>
      </c>
      <c r="R55">
        <f t="shared" si="2"/>
        <v>0</v>
      </c>
      <c r="S55">
        <f t="shared" si="3"/>
        <v>1</v>
      </c>
      <c r="T55">
        <f t="shared" si="4"/>
        <v>0</v>
      </c>
    </row>
    <row r="56" spans="1:20">
      <c r="A56" s="1" t="s">
        <v>35</v>
      </c>
      <c r="B56" s="3">
        <v>45717</v>
      </c>
      <c r="C56" s="1" t="s">
        <v>27</v>
      </c>
      <c r="D56" s="1" t="s">
        <v>18</v>
      </c>
      <c r="E56" s="1">
        <v>81195.5</v>
      </c>
      <c r="F56" s="1">
        <v>5516</v>
      </c>
      <c r="G56" s="1">
        <v>0.106</v>
      </c>
      <c r="H56" s="1">
        <v>14</v>
      </c>
      <c r="I56" s="1">
        <v>88</v>
      </c>
      <c r="J56" s="1">
        <v>1.76</v>
      </c>
      <c r="K56" s="1">
        <v>0</v>
      </c>
      <c r="L56" s="1">
        <v>4.3</v>
      </c>
      <c r="M56" s="1">
        <v>720852.5</v>
      </c>
      <c r="N56" s="1">
        <v>98565.62</v>
      </c>
      <c r="O56">
        <f t="shared" si="5"/>
        <v>0</v>
      </c>
      <c r="P56">
        <f t="shared" si="0"/>
        <v>0</v>
      </c>
      <c r="Q56">
        <f t="shared" si="1"/>
        <v>0</v>
      </c>
      <c r="R56">
        <f t="shared" si="2"/>
        <v>0</v>
      </c>
      <c r="S56">
        <f t="shared" si="3"/>
        <v>1</v>
      </c>
      <c r="T56">
        <f t="shared" si="4"/>
        <v>0</v>
      </c>
    </row>
    <row r="57" spans="1:20">
      <c r="A57" s="1" t="s">
        <v>35</v>
      </c>
      <c r="B57" s="3">
        <v>45748</v>
      </c>
      <c r="C57" s="1" t="s">
        <v>27</v>
      </c>
      <c r="D57" s="1" t="s">
        <v>18</v>
      </c>
      <c r="E57" s="1">
        <v>27808.6</v>
      </c>
      <c r="F57" s="1">
        <v>2863</v>
      </c>
      <c r="G57" s="1">
        <v>0.08</v>
      </c>
      <c r="H57" s="1">
        <v>13</v>
      </c>
      <c r="I57" s="1">
        <v>89.3</v>
      </c>
      <c r="J57" s="1">
        <v>0.47</v>
      </c>
      <c r="K57" s="1">
        <v>0</v>
      </c>
      <c r="L57" s="1">
        <v>4.0999999999999996</v>
      </c>
      <c r="M57" s="1">
        <v>487464.91</v>
      </c>
      <c r="N57" s="1">
        <v>64562.26</v>
      </c>
      <c r="O57">
        <f t="shared" si="5"/>
        <v>0</v>
      </c>
      <c r="P57">
        <f t="shared" si="0"/>
        <v>0</v>
      </c>
      <c r="Q57">
        <f t="shared" si="1"/>
        <v>0</v>
      </c>
      <c r="R57">
        <f t="shared" si="2"/>
        <v>0</v>
      </c>
      <c r="S57">
        <f t="shared" si="3"/>
        <v>1</v>
      </c>
      <c r="T57">
        <f t="shared" si="4"/>
        <v>0</v>
      </c>
    </row>
    <row r="58" spans="1:20">
      <c r="A58" s="1" t="s">
        <v>36</v>
      </c>
      <c r="B58" s="3">
        <v>45658</v>
      </c>
      <c r="C58" s="1" t="s">
        <v>15</v>
      </c>
      <c r="D58" s="1" t="s">
        <v>21</v>
      </c>
      <c r="E58" s="1">
        <v>19365.060000000001</v>
      </c>
      <c r="F58" s="1">
        <v>2378</v>
      </c>
      <c r="G58" s="1">
        <v>0</v>
      </c>
      <c r="H58" s="1">
        <v>12</v>
      </c>
      <c r="I58" s="1">
        <v>94.8</v>
      </c>
      <c r="J58" s="1">
        <v>0.2</v>
      </c>
      <c r="K58" s="1">
        <v>0</v>
      </c>
      <c r="L58" s="1">
        <v>3.5</v>
      </c>
      <c r="M58" s="1">
        <v>518049.26</v>
      </c>
      <c r="N58" s="1">
        <v>108592.49</v>
      </c>
      <c r="O58">
        <f t="shared" si="5"/>
        <v>1</v>
      </c>
      <c r="P58">
        <f t="shared" si="0"/>
        <v>0</v>
      </c>
      <c r="Q58">
        <f t="shared" si="1"/>
        <v>0</v>
      </c>
      <c r="R58">
        <f t="shared" si="2"/>
        <v>0</v>
      </c>
      <c r="S58">
        <f t="shared" si="3"/>
        <v>0</v>
      </c>
      <c r="T58">
        <f t="shared" si="4"/>
        <v>1</v>
      </c>
    </row>
    <row r="59" spans="1:20">
      <c r="A59" s="1" t="s">
        <v>36</v>
      </c>
      <c r="B59" s="3">
        <v>45689</v>
      </c>
      <c r="C59" s="1" t="s">
        <v>15</v>
      </c>
      <c r="D59" s="1" t="s">
        <v>21</v>
      </c>
      <c r="E59" s="1">
        <v>59405.68</v>
      </c>
      <c r="F59" s="1">
        <v>2515</v>
      </c>
      <c r="G59" s="1">
        <v>3.9E-2</v>
      </c>
      <c r="H59" s="1">
        <v>12</v>
      </c>
      <c r="I59" s="1">
        <v>76</v>
      </c>
      <c r="J59" s="1">
        <v>5.1100000000000003</v>
      </c>
      <c r="K59" s="1">
        <v>0</v>
      </c>
      <c r="L59" s="1">
        <v>3.7</v>
      </c>
      <c r="M59" s="1">
        <v>500298.48</v>
      </c>
      <c r="N59" s="1">
        <v>73461.320000000007</v>
      </c>
      <c r="O59">
        <f t="shared" si="5"/>
        <v>1</v>
      </c>
      <c r="P59">
        <f t="shared" si="0"/>
        <v>0</v>
      </c>
      <c r="Q59">
        <f t="shared" si="1"/>
        <v>0</v>
      </c>
      <c r="R59">
        <f t="shared" si="2"/>
        <v>0</v>
      </c>
      <c r="S59">
        <f t="shared" si="3"/>
        <v>0</v>
      </c>
      <c r="T59">
        <f t="shared" si="4"/>
        <v>1</v>
      </c>
    </row>
    <row r="60" spans="1:20">
      <c r="A60" s="1" t="s">
        <v>36</v>
      </c>
      <c r="B60" s="3">
        <v>45717</v>
      </c>
      <c r="C60" s="1" t="s">
        <v>15</v>
      </c>
      <c r="D60" s="1" t="s">
        <v>21</v>
      </c>
      <c r="E60" s="1">
        <v>118910.48</v>
      </c>
      <c r="F60" s="1">
        <v>4022</v>
      </c>
      <c r="G60" s="1">
        <v>0.13700000000000001</v>
      </c>
      <c r="H60" s="1">
        <v>11</v>
      </c>
      <c r="I60" s="1">
        <v>87.1</v>
      </c>
      <c r="J60" s="1">
        <v>0.2</v>
      </c>
      <c r="K60" s="1">
        <v>0</v>
      </c>
      <c r="L60" s="1">
        <v>3.1</v>
      </c>
      <c r="M60" s="1">
        <v>617291.15</v>
      </c>
      <c r="N60" s="1">
        <v>117782</v>
      </c>
      <c r="O60">
        <f t="shared" si="5"/>
        <v>1</v>
      </c>
      <c r="P60">
        <f t="shared" si="0"/>
        <v>0</v>
      </c>
      <c r="Q60">
        <f t="shared" si="1"/>
        <v>0</v>
      </c>
      <c r="R60">
        <f t="shared" si="2"/>
        <v>0</v>
      </c>
      <c r="S60">
        <f t="shared" si="3"/>
        <v>0</v>
      </c>
      <c r="T60">
        <f t="shared" si="4"/>
        <v>1</v>
      </c>
    </row>
    <row r="61" spans="1:20">
      <c r="A61" s="1" t="s">
        <v>36</v>
      </c>
      <c r="B61" s="3">
        <v>45748</v>
      </c>
      <c r="C61" s="1" t="s">
        <v>15</v>
      </c>
      <c r="D61" s="1" t="s">
        <v>21</v>
      </c>
      <c r="E61" s="1">
        <v>52952.12</v>
      </c>
      <c r="F61" s="1">
        <v>4377</v>
      </c>
      <c r="G61" s="1">
        <v>9.1999999999999998E-2</v>
      </c>
      <c r="H61" s="1">
        <v>14</v>
      </c>
      <c r="I61" s="1">
        <v>88.6</v>
      </c>
      <c r="J61" s="1">
        <v>13.59</v>
      </c>
      <c r="K61" s="1">
        <v>0</v>
      </c>
      <c r="L61" s="1">
        <v>3.1</v>
      </c>
      <c r="M61" s="1">
        <v>553756.43000000005</v>
      </c>
      <c r="N61" s="1">
        <v>86166.77</v>
      </c>
      <c r="O61">
        <f t="shared" si="5"/>
        <v>1</v>
      </c>
      <c r="P61">
        <f t="shared" si="0"/>
        <v>0</v>
      </c>
      <c r="Q61">
        <f t="shared" si="1"/>
        <v>0</v>
      </c>
      <c r="R61">
        <f t="shared" si="2"/>
        <v>0</v>
      </c>
      <c r="S61">
        <f t="shared" si="3"/>
        <v>0</v>
      </c>
      <c r="T61">
        <f t="shared" si="4"/>
        <v>1</v>
      </c>
    </row>
    <row r="62" spans="1:20">
      <c r="A62" s="1" t="s">
        <v>37</v>
      </c>
      <c r="B62" s="3">
        <v>45658</v>
      </c>
      <c r="C62" s="1" t="s">
        <v>24</v>
      </c>
      <c r="D62" s="1" t="s">
        <v>18</v>
      </c>
      <c r="E62" s="1">
        <v>74907.98</v>
      </c>
      <c r="F62" s="1">
        <v>5306</v>
      </c>
      <c r="G62" s="1">
        <v>6.2E-2</v>
      </c>
      <c r="H62" s="1">
        <v>16</v>
      </c>
      <c r="I62" s="1">
        <v>95.6</v>
      </c>
      <c r="J62" s="1">
        <v>1.02</v>
      </c>
      <c r="K62" s="1">
        <v>0</v>
      </c>
      <c r="L62" s="1">
        <v>3.7</v>
      </c>
      <c r="M62" s="1">
        <v>749559.71</v>
      </c>
      <c r="N62" s="1">
        <v>144522.53</v>
      </c>
      <c r="O62">
        <f t="shared" si="5"/>
        <v>0</v>
      </c>
      <c r="P62">
        <f t="shared" si="0"/>
        <v>0</v>
      </c>
      <c r="Q62">
        <f t="shared" si="1"/>
        <v>1</v>
      </c>
      <c r="R62">
        <f t="shared" si="2"/>
        <v>0</v>
      </c>
      <c r="S62">
        <f t="shared" si="3"/>
        <v>1</v>
      </c>
      <c r="T62">
        <f t="shared" si="4"/>
        <v>0</v>
      </c>
    </row>
    <row r="63" spans="1:20">
      <c r="A63" s="1" t="s">
        <v>37</v>
      </c>
      <c r="B63" s="3">
        <v>45689</v>
      </c>
      <c r="C63" s="1" t="s">
        <v>24</v>
      </c>
      <c r="D63" s="1" t="s">
        <v>18</v>
      </c>
      <c r="E63" s="1">
        <v>37284.660000000003</v>
      </c>
      <c r="F63" s="1">
        <v>3928</v>
      </c>
      <c r="G63" s="1">
        <v>7.3999999999999996E-2</v>
      </c>
      <c r="H63" s="1">
        <v>12</v>
      </c>
      <c r="I63" s="1">
        <v>86.5</v>
      </c>
      <c r="J63" s="1">
        <v>1.64</v>
      </c>
      <c r="K63" s="1">
        <v>0</v>
      </c>
      <c r="L63" s="1">
        <v>3.8</v>
      </c>
      <c r="M63" s="1">
        <v>615966.48</v>
      </c>
      <c r="N63" s="1">
        <v>91509.38</v>
      </c>
      <c r="O63">
        <f t="shared" si="5"/>
        <v>0</v>
      </c>
      <c r="P63">
        <f t="shared" si="0"/>
        <v>0</v>
      </c>
      <c r="Q63">
        <f t="shared" si="1"/>
        <v>1</v>
      </c>
      <c r="R63">
        <f t="shared" si="2"/>
        <v>0</v>
      </c>
      <c r="S63">
        <f t="shared" si="3"/>
        <v>1</v>
      </c>
      <c r="T63">
        <f t="shared" si="4"/>
        <v>0</v>
      </c>
    </row>
    <row r="64" spans="1:20">
      <c r="A64" s="1" t="s">
        <v>37</v>
      </c>
      <c r="B64" s="3">
        <v>45717</v>
      </c>
      <c r="C64" s="1" t="s">
        <v>24</v>
      </c>
      <c r="D64" s="1" t="s">
        <v>18</v>
      </c>
      <c r="E64" s="1">
        <v>50343.19</v>
      </c>
      <c r="F64" s="1">
        <v>3845</v>
      </c>
      <c r="G64" s="1">
        <v>0.113</v>
      </c>
      <c r="H64" s="1">
        <v>9</v>
      </c>
      <c r="I64" s="1">
        <v>88.7</v>
      </c>
      <c r="J64" s="1">
        <v>5.15</v>
      </c>
      <c r="K64" s="1">
        <v>0</v>
      </c>
      <c r="L64" s="1">
        <v>3.3</v>
      </c>
      <c r="M64" s="1">
        <v>572011.19999999995</v>
      </c>
      <c r="N64" s="1">
        <v>101409.68</v>
      </c>
      <c r="O64">
        <f t="shared" si="5"/>
        <v>0</v>
      </c>
      <c r="P64">
        <f t="shared" si="0"/>
        <v>0</v>
      </c>
      <c r="Q64">
        <f t="shared" si="1"/>
        <v>1</v>
      </c>
      <c r="R64">
        <f t="shared" si="2"/>
        <v>0</v>
      </c>
      <c r="S64">
        <f t="shared" si="3"/>
        <v>1</v>
      </c>
      <c r="T64">
        <f t="shared" si="4"/>
        <v>0</v>
      </c>
    </row>
    <row r="65" spans="1:20">
      <c r="A65" s="1" t="s">
        <v>37</v>
      </c>
      <c r="B65" s="3">
        <v>45748</v>
      </c>
      <c r="C65" s="1" t="s">
        <v>24</v>
      </c>
      <c r="D65" s="1" t="s">
        <v>18</v>
      </c>
      <c r="E65" s="1">
        <v>74954.47</v>
      </c>
      <c r="F65" s="1">
        <v>6620</v>
      </c>
      <c r="G65" s="1">
        <v>5.3999999999999999E-2</v>
      </c>
      <c r="H65" s="1">
        <v>17</v>
      </c>
      <c r="I65" s="1">
        <v>91.1</v>
      </c>
      <c r="J65" s="1">
        <v>1.1100000000000001</v>
      </c>
      <c r="K65" s="1">
        <v>0</v>
      </c>
      <c r="L65" s="1">
        <v>3.5</v>
      </c>
      <c r="M65" s="1">
        <v>761860.19</v>
      </c>
      <c r="N65" s="1">
        <v>133279.38</v>
      </c>
      <c r="O65">
        <f t="shared" si="5"/>
        <v>0</v>
      </c>
      <c r="P65">
        <f t="shared" si="0"/>
        <v>0</v>
      </c>
      <c r="Q65">
        <f t="shared" si="1"/>
        <v>1</v>
      </c>
      <c r="R65">
        <f t="shared" si="2"/>
        <v>0</v>
      </c>
      <c r="S65">
        <f t="shared" si="3"/>
        <v>1</v>
      </c>
      <c r="T65">
        <f t="shared" si="4"/>
        <v>0</v>
      </c>
    </row>
    <row r="66" spans="1:20">
      <c r="A66" s="1" t="s">
        <v>38</v>
      </c>
      <c r="B66" s="3">
        <v>45658</v>
      </c>
      <c r="C66" s="1" t="s">
        <v>27</v>
      </c>
      <c r="D66" s="1" t="s">
        <v>18</v>
      </c>
      <c r="E66" s="1">
        <v>70040.31</v>
      </c>
      <c r="F66" s="1">
        <v>9175</v>
      </c>
      <c r="G66" s="1">
        <v>0.107</v>
      </c>
      <c r="H66" s="1">
        <v>23</v>
      </c>
      <c r="I66" s="1">
        <v>95.1</v>
      </c>
      <c r="J66" s="1">
        <v>6.08</v>
      </c>
      <c r="K66" s="1">
        <v>1</v>
      </c>
      <c r="L66" s="1">
        <v>3.4</v>
      </c>
      <c r="M66" s="1">
        <v>784502.68</v>
      </c>
      <c r="N66" s="1">
        <v>129519.72</v>
      </c>
      <c r="O66">
        <f t="shared" si="5"/>
        <v>0</v>
      </c>
      <c r="P66">
        <f t="shared" si="0"/>
        <v>0</v>
      </c>
      <c r="Q66">
        <f t="shared" si="1"/>
        <v>0</v>
      </c>
      <c r="R66">
        <f t="shared" si="2"/>
        <v>0</v>
      </c>
      <c r="S66">
        <f t="shared" si="3"/>
        <v>1</v>
      </c>
      <c r="T66">
        <f t="shared" si="4"/>
        <v>0</v>
      </c>
    </row>
    <row r="67" spans="1:20">
      <c r="A67" s="1" t="s">
        <v>38</v>
      </c>
      <c r="B67" s="3">
        <v>45689</v>
      </c>
      <c r="C67" s="1" t="s">
        <v>27</v>
      </c>
      <c r="D67" s="1" t="s">
        <v>18</v>
      </c>
      <c r="E67" s="1">
        <v>51148.69</v>
      </c>
      <c r="F67" s="1">
        <v>7940</v>
      </c>
      <c r="G67" s="1">
        <v>0.156</v>
      </c>
      <c r="H67" s="1">
        <v>18</v>
      </c>
      <c r="I67" s="1">
        <v>93.3</v>
      </c>
      <c r="J67" s="1">
        <v>10.91</v>
      </c>
      <c r="K67" s="1">
        <v>0</v>
      </c>
      <c r="L67" s="1">
        <v>3.6</v>
      </c>
      <c r="M67" s="1">
        <v>717141.55</v>
      </c>
      <c r="N67" s="1">
        <v>134013.60999999999</v>
      </c>
      <c r="O67">
        <f t="shared" ref="O67:O130" si="6">IF(C67="East",1,0)</f>
        <v>0</v>
      </c>
      <c r="P67">
        <f t="shared" ref="P67:P130" si="7">IF(C67="North",1,0)</f>
        <v>0</v>
      </c>
      <c r="Q67">
        <f t="shared" ref="Q67:Q130" si="8">IF(C67="South",1,0)</f>
        <v>0</v>
      </c>
      <c r="R67">
        <f t="shared" ref="R67:R130" si="9">IF(D67="Residential",1,0)</f>
        <v>0</v>
      </c>
      <c r="S67">
        <f t="shared" ref="S67:S130" si="10">IF(D67="High Street",1,0)</f>
        <v>1</v>
      </c>
      <c r="T67">
        <f t="shared" ref="T67:T130" si="11">IF(D67="Airport",1,0)</f>
        <v>0</v>
      </c>
    </row>
    <row r="68" spans="1:20">
      <c r="A68" s="1" t="s">
        <v>38</v>
      </c>
      <c r="B68" s="3">
        <v>45717</v>
      </c>
      <c r="C68" s="1" t="s">
        <v>27</v>
      </c>
      <c r="D68" s="1" t="s">
        <v>18</v>
      </c>
      <c r="E68" s="1">
        <v>79346.100000000006</v>
      </c>
      <c r="F68" s="1">
        <v>9628</v>
      </c>
      <c r="G68" s="1">
        <v>0.10199999999999999</v>
      </c>
      <c r="H68" s="1">
        <v>20</v>
      </c>
      <c r="I68" s="1">
        <v>99</v>
      </c>
      <c r="J68" s="1">
        <v>19.010000000000002</v>
      </c>
      <c r="K68" s="1">
        <v>1</v>
      </c>
      <c r="L68" s="1">
        <v>3.2</v>
      </c>
      <c r="M68" s="1">
        <v>685379.08</v>
      </c>
      <c r="N68" s="1">
        <v>106898.82</v>
      </c>
      <c r="O68">
        <f t="shared" si="6"/>
        <v>0</v>
      </c>
      <c r="P68">
        <f t="shared" si="7"/>
        <v>0</v>
      </c>
      <c r="Q68">
        <f t="shared" si="8"/>
        <v>0</v>
      </c>
      <c r="R68">
        <f t="shared" si="9"/>
        <v>0</v>
      </c>
      <c r="S68">
        <f t="shared" si="10"/>
        <v>1</v>
      </c>
      <c r="T68">
        <f t="shared" si="11"/>
        <v>0</v>
      </c>
    </row>
    <row r="69" spans="1:20">
      <c r="A69" s="1" t="s">
        <v>38</v>
      </c>
      <c r="B69" s="3">
        <v>45748</v>
      </c>
      <c r="C69" s="1" t="s">
        <v>27</v>
      </c>
      <c r="D69" s="1" t="s">
        <v>18</v>
      </c>
      <c r="E69" s="1">
        <v>42018.400000000001</v>
      </c>
      <c r="F69" s="1">
        <v>8296</v>
      </c>
      <c r="G69" s="1">
        <v>0.115</v>
      </c>
      <c r="H69" s="1">
        <v>17</v>
      </c>
      <c r="I69" s="1">
        <v>91.8</v>
      </c>
      <c r="J69" s="1">
        <v>0.77</v>
      </c>
      <c r="K69" s="1">
        <v>0</v>
      </c>
      <c r="L69" s="1">
        <v>3.4</v>
      </c>
      <c r="M69" s="1">
        <v>740496.65</v>
      </c>
      <c r="N69" s="1">
        <v>128020.9</v>
      </c>
      <c r="O69">
        <f t="shared" si="6"/>
        <v>0</v>
      </c>
      <c r="P69">
        <f t="shared" si="7"/>
        <v>0</v>
      </c>
      <c r="Q69">
        <f t="shared" si="8"/>
        <v>0</v>
      </c>
      <c r="R69">
        <f t="shared" si="9"/>
        <v>0</v>
      </c>
      <c r="S69">
        <f t="shared" si="10"/>
        <v>1</v>
      </c>
      <c r="T69">
        <f t="shared" si="11"/>
        <v>0</v>
      </c>
    </row>
    <row r="70" spans="1:20">
      <c r="A70" s="1" t="s">
        <v>39</v>
      </c>
      <c r="B70" s="3">
        <v>45658</v>
      </c>
      <c r="C70" s="1" t="s">
        <v>15</v>
      </c>
      <c r="D70" s="1" t="s">
        <v>18</v>
      </c>
      <c r="E70" s="1">
        <v>70937.240000000005</v>
      </c>
      <c r="F70" s="1">
        <v>3595</v>
      </c>
      <c r="G70" s="1">
        <v>0.14099999999999999</v>
      </c>
      <c r="H70" s="1">
        <v>11</v>
      </c>
      <c r="I70" s="1">
        <v>88.9</v>
      </c>
      <c r="J70" s="1">
        <v>2.83</v>
      </c>
      <c r="K70" s="1">
        <v>1</v>
      </c>
      <c r="L70" s="1">
        <v>3.3</v>
      </c>
      <c r="M70" s="1">
        <v>661927.14</v>
      </c>
      <c r="N70" s="1">
        <v>79218.570000000007</v>
      </c>
      <c r="O70">
        <f t="shared" si="6"/>
        <v>1</v>
      </c>
      <c r="P70">
        <f t="shared" si="7"/>
        <v>0</v>
      </c>
      <c r="Q70">
        <f t="shared" si="8"/>
        <v>0</v>
      </c>
      <c r="R70">
        <f t="shared" si="9"/>
        <v>0</v>
      </c>
      <c r="S70">
        <f t="shared" si="10"/>
        <v>1</v>
      </c>
      <c r="T70">
        <f t="shared" si="11"/>
        <v>0</v>
      </c>
    </row>
    <row r="71" spans="1:20">
      <c r="A71" s="1" t="s">
        <v>39</v>
      </c>
      <c r="B71" s="3">
        <v>45689</v>
      </c>
      <c r="C71" s="1" t="s">
        <v>15</v>
      </c>
      <c r="D71" s="1" t="s">
        <v>18</v>
      </c>
      <c r="E71" s="1">
        <v>36813.449999999997</v>
      </c>
      <c r="F71" s="1">
        <v>2834</v>
      </c>
      <c r="G71" s="1">
        <v>0.191</v>
      </c>
      <c r="H71" s="1">
        <v>11</v>
      </c>
      <c r="I71" s="1">
        <v>81.8</v>
      </c>
      <c r="J71" s="1">
        <v>2.33</v>
      </c>
      <c r="K71" s="1">
        <v>0</v>
      </c>
      <c r="L71" s="1">
        <v>3.3</v>
      </c>
      <c r="M71" s="1">
        <v>479050.5</v>
      </c>
      <c r="N71" s="1">
        <v>53651.11</v>
      </c>
      <c r="O71">
        <f t="shared" si="6"/>
        <v>1</v>
      </c>
      <c r="P71">
        <f t="shared" si="7"/>
        <v>0</v>
      </c>
      <c r="Q71">
        <f t="shared" si="8"/>
        <v>0</v>
      </c>
      <c r="R71">
        <f t="shared" si="9"/>
        <v>0</v>
      </c>
      <c r="S71">
        <f t="shared" si="10"/>
        <v>1</v>
      </c>
      <c r="T71">
        <f t="shared" si="11"/>
        <v>0</v>
      </c>
    </row>
    <row r="72" spans="1:20">
      <c r="A72" s="1" t="s">
        <v>39</v>
      </c>
      <c r="B72" s="3">
        <v>45717</v>
      </c>
      <c r="C72" s="1" t="s">
        <v>15</v>
      </c>
      <c r="D72" s="1" t="s">
        <v>18</v>
      </c>
      <c r="E72" s="1">
        <v>60571.82</v>
      </c>
      <c r="F72" s="1">
        <v>3193</v>
      </c>
      <c r="G72" s="1">
        <v>0.19700000000000001</v>
      </c>
      <c r="H72" s="1">
        <v>7</v>
      </c>
      <c r="I72" s="1">
        <v>99</v>
      </c>
      <c r="J72" s="1">
        <v>1.43</v>
      </c>
      <c r="K72" s="1">
        <v>0</v>
      </c>
      <c r="L72" s="1">
        <v>3.2</v>
      </c>
      <c r="M72" s="1">
        <v>605023.87</v>
      </c>
      <c r="N72" s="1">
        <v>98545.81</v>
      </c>
      <c r="O72">
        <f t="shared" si="6"/>
        <v>1</v>
      </c>
      <c r="P72">
        <f t="shared" si="7"/>
        <v>0</v>
      </c>
      <c r="Q72">
        <f t="shared" si="8"/>
        <v>0</v>
      </c>
      <c r="R72">
        <f t="shared" si="9"/>
        <v>0</v>
      </c>
      <c r="S72">
        <f t="shared" si="10"/>
        <v>1</v>
      </c>
      <c r="T72">
        <f t="shared" si="11"/>
        <v>0</v>
      </c>
    </row>
    <row r="73" spans="1:20">
      <c r="A73" s="1" t="s">
        <v>39</v>
      </c>
      <c r="B73" s="3">
        <v>45748</v>
      </c>
      <c r="C73" s="1" t="s">
        <v>15</v>
      </c>
      <c r="D73" s="1" t="s">
        <v>18</v>
      </c>
      <c r="E73" s="1">
        <v>55081.16</v>
      </c>
      <c r="F73" s="1">
        <v>5485</v>
      </c>
      <c r="G73" s="1">
        <v>3.5999999999999997E-2</v>
      </c>
      <c r="H73" s="1">
        <v>12</v>
      </c>
      <c r="I73" s="1">
        <v>88</v>
      </c>
      <c r="J73" s="1"/>
      <c r="K73" s="1">
        <v>0</v>
      </c>
      <c r="L73" s="1">
        <v>3.5</v>
      </c>
      <c r="M73" s="1">
        <v>674774.09</v>
      </c>
      <c r="N73" s="1">
        <v>141917.59</v>
      </c>
      <c r="O73">
        <f t="shared" si="6"/>
        <v>1</v>
      </c>
      <c r="P73">
        <f t="shared" si="7"/>
        <v>0</v>
      </c>
      <c r="Q73">
        <f t="shared" si="8"/>
        <v>0</v>
      </c>
      <c r="R73">
        <f t="shared" si="9"/>
        <v>0</v>
      </c>
      <c r="S73">
        <f t="shared" si="10"/>
        <v>1</v>
      </c>
      <c r="T73">
        <f t="shared" si="11"/>
        <v>0</v>
      </c>
    </row>
    <row r="74" spans="1:20">
      <c r="A74" s="1" t="s">
        <v>40</v>
      </c>
      <c r="B74" s="3">
        <v>45658</v>
      </c>
      <c r="C74" s="1" t="s">
        <v>15</v>
      </c>
      <c r="D74" s="1" t="s">
        <v>16</v>
      </c>
      <c r="E74" s="1">
        <v>46201.46</v>
      </c>
      <c r="F74" s="1">
        <v>5918</v>
      </c>
      <c r="G74" s="1">
        <v>0.27700000000000002</v>
      </c>
      <c r="H74" s="1">
        <v>13</v>
      </c>
      <c r="I74" s="1">
        <v>78.8</v>
      </c>
      <c r="J74" s="1">
        <v>4.91</v>
      </c>
      <c r="K74" s="1">
        <v>0</v>
      </c>
      <c r="L74" s="1">
        <v>4.5</v>
      </c>
      <c r="M74" s="1">
        <v>616069.41</v>
      </c>
      <c r="N74" s="1">
        <v>54453.99</v>
      </c>
      <c r="O74">
        <f t="shared" si="6"/>
        <v>1</v>
      </c>
      <c r="P74">
        <f t="shared" si="7"/>
        <v>0</v>
      </c>
      <c r="Q74">
        <f t="shared" si="8"/>
        <v>0</v>
      </c>
      <c r="R74">
        <f t="shared" si="9"/>
        <v>1</v>
      </c>
      <c r="S74">
        <f t="shared" si="10"/>
        <v>0</v>
      </c>
      <c r="T74">
        <f t="shared" si="11"/>
        <v>0</v>
      </c>
    </row>
    <row r="75" spans="1:20">
      <c r="A75" s="1" t="s">
        <v>40</v>
      </c>
      <c r="B75" s="3">
        <v>45689</v>
      </c>
      <c r="C75" s="1" t="s">
        <v>15</v>
      </c>
      <c r="D75" s="1" t="s">
        <v>16</v>
      </c>
      <c r="E75" s="1">
        <v>53762.92</v>
      </c>
      <c r="F75" s="1">
        <v>6821</v>
      </c>
      <c r="G75" s="1">
        <v>6.6000000000000003E-2</v>
      </c>
      <c r="H75" s="1">
        <v>19</v>
      </c>
      <c r="I75" s="1">
        <v>94.6</v>
      </c>
      <c r="J75" s="1">
        <v>7.03</v>
      </c>
      <c r="K75" s="1">
        <v>0</v>
      </c>
      <c r="L75" s="1">
        <v>4.4000000000000004</v>
      </c>
      <c r="M75" s="1">
        <v>630829.93999999994</v>
      </c>
      <c r="N75" s="1">
        <v>117090.02</v>
      </c>
      <c r="O75">
        <f t="shared" si="6"/>
        <v>1</v>
      </c>
      <c r="P75">
        <f t="shared" si="7"/>
        <v>0</v>
      </c>
      <c r="Q75">
        <f t="shared" si="8"/>
        <v>0</v>
      </c>
      <c r="R75">
        <f t="shared" si="9"/>
        <v>1</v>
      </c>
      <c r="S75">
        <f t="shared" si="10"/>
        <v>0</v>
      </c>
      <c r="T75">
        <f t="shared" si="11"/>
        <v>0</v>
      </c>
    </row>
    <row r="76" spans="1:20">
      <c r="A76" s="1" t="s">
        <v>40</v>
      </c>
      <c r="B76" s="3">
        <v>45717</v>
      </c>
      <c r="C76" s="1" t="s">
        <v>15</v>
      </c>
      <c r="D76" s="1" t="s">
        <v>16</v>
      </c>
      <c r="E76" s="1">
        <v>70144.78</v>
      </c>
      <c r="F76" s="1">
        <v>6806</v>
      </c>
      <c r="G76" s="1">
        <v>0.17799999999999999</v>
      </c>
      <c r="H76" s="1">
        <v>20</v>
      </c>
      <c r="I76" s="1">
        <v>93.1</v>
      </c>
      <c r="J76" s="1">
        <v>0.28000000000000003</v>
      </c>
      <c r="K76" s="1">
        <v>1</v>
      </c>
      <c r="L76" s="1">
        <v>4.3</v>
      </c>
      <c r="M76" s="1">
        <v>788087.68</v>
      </c>
      <c r="N76" s="1">
        <v>116803.42</v>
      </c>
      <c r="O76">
        <f t="shared" si="6"/>
        <v>1</v>
      </c>
      <c r="P76">
        <f t="shared" si="7"/>
        <v>0</v>
      </c>
      <c r="Q76">
        <f t="shared" si="8"/>
        <v>0</v>
      </c>
      <c r="R76">
        <f t="shared" si="9"/>
        <v>1</v>
      </c>
      <c r="S76">
        <f t="shared" si="10"/>
        <v>0</v>
      </c>
      <c r="T76">
        <f t="shared" si="11"/>
        <v>0</v>
      </c>
    </row>
    <row r="77" spans="1:20">
      <c r="A77" s="1" t="s">
        <v>40</v>
      </c>
      <c r="B77" s="3">
        <v>45748</v>
      </c>
      <c r="C77" s="1" t="s">
        <v>15</v>
      </c>
      <c r="D77" s="1" t="s">
        <v>16</v>
      </c>
      <c r="E77" s="1">
        <v>58749.63</v>
      </c>
      <c r="F77" s="1">
        <v>8252</v>
      </c>
      <c r="G77" s="1">
        <v>0.20300000000000001</v>
      </c>
      <c r="H77" s="1">
        <v>20</v>
      </c>
      <c r="I77" s="1">
        <v>85.2</v>
      </c>
      <c r="J77" s="1">
        <v>3.61</v>
      </c>
      <c r="K77" s="1">
        <v>0</v>
      </c>
      <c r="L77" s="1">
        <v>4.5</v>
      </c>
      <c r="M77" s="1">
        <v>680840.36</v>
      </c>
      <c r="N77" s="1">
        <v>68007.679999999993</v>
      </c>
      <c r="O77">
        <f t="shared" si="6"/>
        <v>1</v>
      </c>
      <c r="P77">
        <f t="shared" si="7"/>
        <v>0</v>
      </c>
      <c r="Q77">
        <f t="shared" si="8"/>
        <v>0</v>
      </c>
      <c r="R77">
        <f t="shared" si="9"/>
        <v>1</v>
      </c>
      <c r="S77">
        <f t="shared" si="10"/>
        <v>0</v>
      </c>
      <c r="T77">
        <f t="shared" si="11"/>
        <v>0</v>
      </c>
    </row>
    <row r="78" spans="1:20">
      <c r="A78" s="1" t="s">
        <v>41</v>
      </c>
      <c r="B78" s="3">
        <v>45658</v>
      </c>
      <c r="C78" s="1" t="s">
        <v>24</v>
      </c>
      <c r="D78" s="1" t="s">
        <v>18</v>
      </c>
      <c r="E78" s="1">
        <v>56973.18</v>
      </c>
      <c r="F78" s="1">
        <v>6662</v>
      </c>
      <c r="G78" s="1">
        <v>0.1</v>
      </c>
      <c r="H78" s="1">
        <v>15</v>
      </c>
      <c r="I78" s="1">
        <v>77.7</v>
      </c>
      <c r="J78" s="1">
        <v>7.52</v>
      </c>
      <c r="K78" s="1">
        <v>1</v>
      </c>
      <c r="L78" s="1">
        <v>3.2</v>
      </c>
      <c r="M78" s="1">
        <v>643657.47</v>
      </c>
      <c r="N78" s="1">
        <v>87022.45</v>
      </c>
      <c r="O78">
        <f t="shared" si="6"/>
        <v>0</v>
      </c>
      <c r="P78">
        <f t="shared" si="7"/>
        <v>0</v>
      </c>
      <c r="Q78">
        <f t="shared" si="8"/>
        <v>1</v>
      </c>
      <c r="R78">
        <f t="shared" si="9"/>
        <v>0</v>
      </c>
      <c r="S78">
        <f t="shared" si="10"/>
        <v>1</v>
      </c>
      <c r="T78">
        <f t="shared" si="11"/>
        <v>0</v>
      </c>
    </row>
    <row r="79" spans="1:20">
      <c r="A79" s="1" t="s">
        <v>41</v>
      </c>
      <c r="B79" s="3">
        <v>45689</v>
      </c>
      <c r="C79" s="1" t="s">
        <v>24</v>
      </c>
      <c r="D79" s="1" t="s">
        <v>18</v>
      </c>
      <c r="E79" s="1">
        <v>54872.82</v>
      </c>
      <c r="F79" s="1">
        <v>5962</v>
      </c>
      <c r="G79" s="1">
        <v>6.4000000000000001E-2</v>
      </c>
      <c r="H79" s="1">
        <v>12</v>
      </c>
      <c r="I79" s="1">
        <v>85.4</v>
      </c>
      <c r="J79" s="1">
        <v>2.58</v>
      </c>
      <c r="K79" s="1">
        <v>0</v>
      </c>
      <c r="L79" s="1">
        <v>2.9</v>
      </c>
      <c r="M79" s="1">
        <v>691112.6</v>
      </c>
      <c r="N79" s="1">
        <v>109212.83</v>
      </c>
      <c r="O79">
        <f t="shared" si="6"/>
        <v>0</v>
      </c>
      <c r="P79">
        <f t="shared" si="7"/>
        <v>0</v>
      </c>
      <c r="Q79">
        <f t="shared" si="8"/>
        <v>1</v>
      </c>
      <c r="R79">
        <f t="shared" si="9"/>
        <v>0</v>
      </c>
      <c r="S79">
        <f t="shared" si="10"/>
        <v>1</v>
      </c>
      <c r="T79">
        <f t="shared" si="11"/>
        <v>0</v>
      </c>
    </row>
    <row r="80" spans="1:20">
      <c r="A80" s="1" t="s">
        <v>41</v>
      </c>
      <c r="B80" s="3">
        <v>45717</v>
      </c>
      <c r="C80" s="1" t="s">
        <v>24</v>
      </c>
      <c r="D80" s="1" t="s">
        <v>18</v>
      </c>
      <c r="E80" s="1">
        <v>80562.81</v>
      </c>
      <c r="F80" s="1">
        <v>7470</v>
      </c>
      <c r="G80" s="1">
        <v>0.17199999999999999</v>
      </c>
      <c r="H80" s="1">
        <v>16</v>
      </c>
      <c r="I80" s="1">
        <v>83.5</v>
      </c>
      <c r="J80" s="1">
        <v>2.29</v>
      </c>
      <c r="K80" s="1">
        <v>0</v>
      </c>
      <c r="L80" s="1">
        <v>3.3</v>
      </c>
      <c r="M80" s="1">
        <v>776922.17</v>
      </c>
      <c r="N80" s="1">
        <v>150701.93</v>
      </c>
      <c r="O80">
        <f t="shared" si="6"/>
        <v>0</v>
      </c>
      <c r="P80">
        <f t="shared" si="7"/>
        <v>0</v>
      </c>
      <c r="Q80">
        <f t="shared" si="8"/>
        <v>1</v>
      </c>
      <c r="R80">
        <f t="shared" si="9"/>
        <v>0</v>
      </c>
      <c r="S80">
        <f t="shared" si="10"/>
        <v>1</v>
      </c>
      <c r="T80">
        <f t="shared" si="11"/>
        <v>0</v>
      </c>
    </row>
    <row r="81" spans="1:20">
      <c r="A81" s="1" t="s">
        <v>41</v>
      </c>
      <c r="B81" s="3">
        <v>45748</v>
      </c>
      <c r="C81" s="1" t="s">
        <v>24</v>
      </c>
      <c r="D81" s="1" t="s">
        <v>18</v>
      </c>
      <c r="E81" s="1">
        <v>77999.899999999994</v>
      </c>
      <c r="F81" s="1">
        <v>5974</v>
      </c>
      <c r="G81" s="1">
        <v>0.252</v>
      </c>
      <c r="H81" s="1">
        <v>14</v>
      </c>
      <c r="I81" s="1">
        <v>81.3</v>
      </c>
      <c r="J81" s="1">
        <v>2.39</v>
      </c>
      <c r="K81" s="1">
        <v>0</v>
      </c>
      <c r="L81" s="1">
        <v>3.2</v>
      </c>
      <c r="M81" s="1">
        <v>636561.34</v>
      </c>
      <c r="N81" s="1">
        <v>93861.06</v>
      </c>
      <c r="O81">
        <f t="shared" si="6"/>
        <v>0</v>
      </c>
      <c r="P81">
        <f t="shared" si="7"/>
        <v>0</v>
      </c>
      <c r="Q81">
        <f t="shared" si="8"/>
        <v>1</v>
      </c>
      <c r="R81">
        <f t="shared" si="9"/>
        <v>0</v>
      </c>
      <c r="S81">
        <f t="shared" si="10"/>
        <v>1</v>
      </c>
      <c r="T81">
        <f t="shared" si="11"/>
        <v>0</v>
      </c>
    </row>
    <row r="82" spans="1:20">
      <c r="A82" s="1" t="s">
        <v>42</v>
      </c>
      <c r="B82" s="3">
        <v>45658</v>
      </c>
      <c r="C82" s="1" t="s">
        <v>27</v>
      </c>
      <c r="D82" s="1" t="s">
        <v>28</v>
      </c>
      <c r="E82" s="1">
        <v>60881.01</v>
      </c>
      <c r="F82" s="1">
        <v>5410</v>
      </c>
      <c r="G82" s="1">
        <v>0.17899999999999999</v>
      </c>
      <c r="H82" s="1">
        <v>15</v>
      </c>
      <c r="I82" s="1">
        <v>83.9</v>
      </c>
      <c r="J82" s="1">
        <v>5.24</v>
      </c>
      <c r="K82" s="1">
        <v>0</v>
      </c>
      <c r="L82" s="1">
        <v>4.5999999999999996</v>
      </c>
      <c r="M82" s="1">
        <v>621369.57999999996</v>
      </c>
      <c r="N82" s="1">
        <v>85493.64</v>
      </c>
      <c r="O82">
        <f t="shared" si="6"/>
        <v>0</v>
      </c>
      <c r="P82">
        <f t="shared" si="7"/>
        <v>0</v>
      </c>
      <c r="Q82">
        <f t="shared" si="8"/>
        <v>0</v>
      </c>
      <c r="R82">
        <f t="shared" si="9"/>
        <v>0</v>
      </c>
      <c r="S82">
        <f t="shared" si="10"/>
        <v>0</v>
      </c>
      <c r="T82">
        <f t="shared" si="11"/>
        <v>0</v>
      </c>
    </row>
    <row r="83" spans="1:20">
      <c r="A83" s="1" t="s">
        <v>42</v>
      </c>
      <c r="B83" s="3">
        <v>45689</v>
      </c>
      <c r="C83" s="1" t="s">
        <v>27</v>
      </c>
      <c r="D83" s="1" t="s">
        <v>28</v>
      </c>
      <c r="E83" s="1">
        <v>60628.38</v>
      </c>
      <c r="F83" s="1">
        <v>4451</v>
      </c>
      <c r="G83" s="1">
        <v>9.5000000000000001E-2</v>
      </c>
      <c r="H83" s="1">
        <v>10</v>
      </c>
      <c r="I83" s="1">
        <v>89.6</v>
      </c>
      <c r="J83" s="1">
        <v>3.17</v>
      </c>
      <c r="K83" s="1">
        <v>0</v>
      </c>
      <c r="L83" s="1">
        <v>4.5999999999999996</v>
      </c>
      <c r="M83" s="1">
        <v>682208.01</v>
      </c>
      <c r="N83" s="1">
        <v>110318.84</v>
      </c>
      <c r="O83">
        <f t="shared" si="6"/>
        <v>0</v>
      </c>
      <c r="P83">
        <f t="shared" si="7"/>
        <v>0</v>
      </c>
      <c r="Q83">
        <f t="shared" si="8"/>
        <v>0</v>
      </c>
      <c r="R83">
        <f t="shared" si="9"/>
        <v>0</v>
      </c>
      <c r="S83">
        <f t="shared" si="10"/>
        <v>0</v>
      </c>
      <c r="T83">
        <f t="shared" si="11"/>
        <v>0</v>
      </c>
    </row>
    <row r="84" spans="1:20">
      <c r="A84" s="1" t="s">
        <v>42</v>
      </c>
      <c r="B84" s="3">
        <v>45717</v>
      </c>
      <c r="C84" s="1" t="s">
        <v>27</v>
      </c>
      <c r="D84" s="1" t="s">
        <v>28</v>
      </c>
      <c r="E84" s="1">
        <v>72731.14</v>
      </c>
      <c r="F84" s="1">
        <v>4644</v>
      </c>
      <c r="G84" s="1">
        <v>8.4000000000000005E-2</v>
      </c>
      <c r="H84" s="1">
        <v>15</v>
      </c>
      <c r="I84" s="1">
        <v>87.1</v>
      </c>
      <c r="J84" s="1">
        <v>2.66</v>
      </c>
      <c r="K84" s="1">
        <v>0</v>
      </c>
      <c r="L84" s="1">
        <v>4.5999999999999996</v>
      </c>
      <c r="M84" s="1">
        <v>727241.86</v>
      </c>
      <c r="N84" s="1">
        <v>155810.29999999999</v>
      </c>
      <c r="O84">
        <f t="shared" si="6"/>
        <v>0</v>
      </c>
      <c r="P84">
        <f t="shared" si="7"/>
        <v>0</v>
      </c>
      <c r="Q84">
        <f t="shared" si="8"/>
        <v>0</v>
      </c>
      <c r="R84">
        <f t="shared" si="9"/>
        <v>0</v>
      </c>
      <c r="S84">
        <f t="shared" si="10"/>
        <v>0</v>
      </c>
      <c r="T84">
        <f t="shared" si="11"/>
        <v>0</v>
      </c>
    </row>
    <row r="85" spans="1:20">
      <c r="A85" s="1" t="s">
        <v>42</v>
      </c>
      <c r="B85" s="3">
        <v>45748</v>
      </c>
      <c r="C85" s="1" t="s">
        <v>27</v>
      </c>
      <c r="D85" s="1" t="s">
        <v>28</v>
      </c>
      <c r="E85" s="1">
        <v>36475.71</v>
      </c>
      <c r="F85" s="1">
        <v>3559</v>
      </c>
      <c r="G85" s="1">
        <v>0.03</v>
      </c>
      <c r="H85" s="1">
        <v>8</v>
      </c>
      <c r="I85" s="1">
        <v>83.6</v>
      </c>
      <c r="J85" s="1">
        <v>1.41</v>
      </c>
      <c r="K85" s="1">
        <v>0</v>
      </c>
      <c r="L85" s="1">
        <v>4.2</v>
      </c>
      <c r="M85" s="1">
        <v>569100.78</v>
      </c>
      <c r="N85" s="1">
        <v>104808.78</v>
      </c>
      <c r="O85">
        <f t="shared" si="6"/>
        <v>0</v>
      </c>
      <c r="P85">
        <f t="shared" si="7"/>
        <v>0</v>
      </c>
      <c r="Q85">
        <f t="shared" si="8"/>
        <v>0</v>
      </c>
      <c r="R85">
        <f t="shared" si="9"/>
        <v>0</v>
      </c>
      <c r="S85">
        <f t="shared" si="10"/>
        <v>0</v>
      </c>
      <c r="T85">
        <f t="shared" si="11"/>
        <v>0</v>
      </c>
    </row>
    <row r="86" spans="1:20">
      <c r="A86" s="1" t="s">
        <v>43</v>
      </c>
      <c r="B86" s="3">
        <v>45658</v>
      </c>
      <c r="C86" s="1" t="s">
        <v>27</v>
      </c>
      <c r="D86" s="1" t="s">
        <v>18</v>
      </c>
      <c r="E86" s="1">
        <v>55388.11</v>
      </c>
      <c r="F86" s="1">
        <v>3091</v>
      </c>
      <c r="G86" s="1">
        <v>0.108</v>
      </c>
      <c r="H86" s="1">
        <v>7</v>
      </c>
      <c r="I86" s="1">
        <v>85.4</v>
      </c>
      <c r="J86" s="1">
        <v>7.34</v>
      </c>
      <c r="K86" s="1">
        <v>0</v>
      </c>
      <c r="L86" s="1">
        <v>4.9000000000000004</v>
      </c>
      <c r="M86" s="1">
        <v>574436.29</v>
      </c>
      <c r="N86" s="1">
        <v>80271.990000000005</v>
      </c>
      <c r="O86">
        <f t="shared" si="6"/>
        <v>0</v>
      </c>
      <c r="P86">
        <f t="shared" si="7"/>
        <v>0</v>
      </c>
      <c r="Q86">
        <f t="shared" si="8"/>
        <v>0</v>
      </c>
      <c r="R86">
        <f t="shared" si="9"/>
        <v>0</v>
      </c>
      <c r="S86">
        <f t="shared" si="10"/>
        <v>1</v>
      </c>
      <c r="T86">
        <f t="shared" si="11"/>
        <v>0</v>
      </c>
    </row>
    <row r="87" spans="1:20">
      <c r="A87" s="1" t="s">
        <v>43</v>
      </c>
      <c r="B87" s="3">
        <v>45689</v>
      </c>
      <c r="C87" s="1" t="s">
        <v>27</v>
      </c>
      <c r="D87" s="1" t="s">
        <v>18</v>
      </c>
      <c r="E87" s="1">
        <v>88443.77</v>
      </c>
      <c r="F87" s="1">
        <v>4004</v>
      </c>
      <c r="G87" s="1">
        <v>0.20599999999999999</v>
      </c>
      <c r="H87" s="1">
        <v>11</v>
      </c>
      <c r="I87" s="1">
        <v>91.9</v>
      </c>
      <c r="J87" s="1">
        <v>5.95</v>
      </c>
      <c r="K87" s="1">
        <v>0</v>
      </c>
      <c r="L87" s="1"/>
      <c r="M87" s="1">
        <v>611766.72</v>
      </c>
      <c r="N87" s="1">
        <v>88275.61</v>
      </c>
      <c r="O87">
        <f t="shared" si="6"/>
        <v>0</v>
      </c>
      <c r="P87">
        <f t="shared" si="7"/>
        <v>0</v>
      </c>
      <c r="Q87">
        <f t="shared" si="8"/>
        <v>0</v>
      </c>
      <c r="R87">
        <f t="shared" si="9"/>
        <v>0</v>
      </c>
      <c r="S87">
        <f t="shared" si="10"/>
        <v>1</v>
      </c>
      <c r="T87">
        <f t="shared" si="11"/>
        <v>0</v>
      </c>
    </row>
    <row r="88" spans="1:20">
      <c r="A88" s="1" t="s">
        <v>43</v>
      </c>
      <c r="B88" s="3">
        <v>45717</v>
      </c>
      <c r="C88" s="1" t="s">
        <v>27</v>
      </c>
      <c r="D88" s="1" t="s">
        <v>18</v>
      </c>
      <c r="E88" s="1">
        <v>78231.91</v>
      </c>
      <c r="F88" s="1">
        <v>3788</v>
      </c>
      <c r="G88" s="1">
        <v>5.8999999999999997E-2</v>
      </c>
      <c r="H88" s="1">
        <v>11</v>
      </c>
      <c r="I88" s="1">
        <v>88.5</v>
      </c>
      <c r="J88" s="1">
        <v>15.51</v>
      </c>
      <c r="K88" s="1">
        <v>0</v>
      </c>
      <c r="L88" s="1">
        <v>4.3</v>
      </c>
      <c r="M88" s="1">
        <v>614596.31999999995</v>
      </c>
      <c r="N88" s="1">
        <v>131199.41</v>
      </c>
      <c r="O88">
        <f t="shared" si="6"/>
        <v>0</v>
      </c>
      <c r="P88">
        <f t="shared" si="7"/>
        <v>0</v>
      </c>
      <c r="Q88">
        <f t="shared" si="8"/>
        <v>0</v>
      </c>
      <c r="R88">
        <f t="shared" si="9"/>
        <v>0</v>
      </c>
      <c r="S88">
        <f t="shared" si="10"/>
        <v>1</v>
      </c>
      <c r="T88">
        <f t="shared" si="11"/>
        <v>0</v>
      </c>
    </row>
    <row r="89" spans="1:20">
      <c r="A89" s="1" t="s">
        <v>43</v>
      </c>
      <c r="B89" s="3">
        <v>45748</v>
      </c>
      <c r="C89" s="1" t="s">
        <v>27</v>
      </c>
      <c r="D89" s="1" t="s">
        <v>18</v>
      </c>
      <c r="E89" s="1">
        <v>18996.32</v>
      </c>
      <c r="F89" s="1">
        <v>1260</v>
      </c>
      <c r="G89" s="1">
        <v>0.14499999999999999</v>
      </c>
      <c r="H89" s="1">
        <v>9</v>
      </c>
      <c r="I89" s="1">
        <v>86.4</v>
      </c>
      <c r="J89" s="1">
        <v>4.3099999999999996</v>
      </c>
      <c r="K89" s="1">
        <v>0</v>
      </c>
      <c r="L89" s="1">
        <v>4.5999999999999996</v>
      </c>
      <c r="M89" s="1">
        <v>450711.92</v>
      </c>
      <c r="N89" s="1">
        <v>90043.76</v>
      </c>
      <c r="O89">
        <f t="shared" si="6"/>
        <v>0</v>
      </c>
      <c r="P89">
        <f t="shared" si="7"/>
        <v>0</v>
      </c>
      <c r="Q89">
        <f t="shared" si="8"/>
        <v>0</v>
      </c>
      <c r="R89">
        <f t="shared" si="9"/>
        <v>0</v>
      </c>
      <c r="S89">
        <f t="shared" si="10"/>
        <v>1</v>
      </c>
      <c r="T89">
        <f t="shared" si="11"/>
        <v>0</v>
      </c>
    </row>
    <row r="90" spans="1:20">
      <c r="A90" s="1" t="s">
        <v>44</v>
      </c>
      <c r="B90" s="3">
        <v>45658</v>
      </c>
      <c r="C90" s="1" t="s">
        <v>24</v>
      </c>
      <c r="D90" s="1" t="s">
        <v>28</v>
      </c>
      <c r="E90" s="1">
        <v>50517.94</v>
      </c>
      <c r="F90" s="1">
        <v>7024</v>
      </c>
      <c r="G90" s="1">
        <v>2.9000000000000001E-2</v>
      </c>
      <c r="H90" s="1">
        <v>18</v>
      </c>
      <c r="I90" s="1">
        <v>79.2</v>
      </c>
      <c r="J90" s="1">
        <v>6.61</v>
      </c>
      <c r="K90" s="1">
        <v>1</v>
      </c>
      <c r="L90" s="1">
        <v>4.0999999999999996</v>
      </c>
      <c r="M90" s="1">
        <v>711213.46</v>
      </c>
      <c r="N90" s="1">
        <v>105863.26</v>
      </c>
      <c r="O90">
        <f t="shared" si="6"/>
        <v>0</v>
      </c>
      <c r="P90">
        <f t="shared" si="7"/>
        <v>0</v>
      </c>
      <c r="Q90">
        <f t="shared" si="8"/>
        <v>1</v>
      </c>
      <c r="R90">
        <f t="shared" si="9"/>
        <v>0</v>
      </c>
      <c r="S90">
        <f t="shared" si="10"/>
        <v>0</v>
      </c>
      <c r="T90">
        <f t="shared" si="11"/>
        <v>0</v>
      </c>
    </row>
    <row r="91" spans="1:20">
      <c r="A91" s="1" t="s">
        <v>44</v>
      </c>
      <c r="B91" s="3">
        <v>45689</v>
      </c>
      <c r="C91" s="1" t="s">
        <v>24</v>
      </c>
      <c r="D91" s="1" t="s">
        <v>28</v>
      </c>
      <c r="E91" s="1">
        <v>141540.29</v>
      </c>
      <c r="F91" s="1">
        <v>5400</v>
      </c>
      <c r="G91" s="1">
        <v>1.2999999999999999E-2</v>
      </c>
      <c r="H91" s="1">
        <v>12</v>
      </c>
      <c r="I91" s="1">
        <v>87</v>
      </c>
      <c r="J91" s="1">
        <v>4.26</v>
      </c>
      <c r="K91" s="1">
        <v>0</v>
      </c>
      <c r="L91" s="1">
        <v>4.5</v>
      </c>
      <c r="M91" s="1">
        <v>627171.9</v>
      </c>
      <c r="N91" s="1">
        <v>105772.75</v>
      </c>
      <c r="O91">
        <f t="shared" si="6"/>
        <v>0</v>
      </c>
      <c r="P91">
        <f t="shared" si="7"/>
        <v>0</v>
      </c>
      <c r="Q91">
        <f t="shared" si="8"/>
        <v>1</v>
      </c>
      <c r="R91">
        <f t="shared" si="9"/>
        <v>0</v>
      </c>
      <c r="S91">
        <f t="shared" si="10"/>
        <v>0</v>
      </c>
      <c r="T91">
        <f t="shared" si="11"/>
        <v>0</v>
      </c>
    </row>
    <row r="92" spans="1:20">
      <c r="A92" s="1" t="s">
        <v>44</v>
      </c>
      <c r="B92" s="3">
        <v>45717</v>
      </c>
      <c r="C92" s="1" t="s">
        <v>24</v>
      </c>
      <c r="D92" s="1" t="s">
        <v>28</v>
      </c>
      <c r="E92" s="1">
        <v>82116.19</v>
      </c>
      <c r="F92" s="1">
        <v>5988</v>
      </c>
      <c r="G92" s="1">
        <v>0.04</v>
      </c>
      <c r="H92" s="1">
        <v>17</v>
      </c>
      <c r="I92" s="1">
        <v>91.8</v>
      </c>
      <c r="J92" s="1">
        <v>5.75</v>
      </c>
      <c r="K92" s="1">
        <v>0</v>
      </c>
      <c r="L92" s="1">
        <v>4.7</v>
      </c>
      <c r="M92" s="1">
        <v>739852.58</v>
      </c>
      <c r="N92" s="1">
        <v>129386.43</v>
      </c>
      <c r="O92">
        <f t="shared" si="6"/>
        <v>0</v>
      </c>
      <c r="P92">
        <f t="shared" si="7"/>
        <v>0</v>
      </c>
      <c r="Q92">
        <f t="shared" si="8"/>
        <v>1</v>
      </c>
      <c r="R92">
        <f t="shared" si="9"/>
        <v>0</v>
      </c>
      <c r="S92">
        <f t="shared" si="10"/>
        <v>0</v>
      </c>
      <c r="T92">
        <f t="shared" si="11"/>
        <v>0</v>
      </c>
    </row>
    <row r="93" spans="1:20">
      <c r="A93" s="1" t="s">
        <v>44</v>
      </c>
      <c r="B93" s="3">
        <v>45748</v>
      </c>
      <c r="C93" s="1" t="s">
        <v>24</v>
      </c>
      <c r="D93" s="1" t="s">
        <v>28</v>
      </c>
      <c r="E93" s="1">
        <v>31207.51</v>
      </c>
      <c r="F93" s="1">
        <v>3701</v>
      </c>
      <c r="G93" s="1">
        <v>4.2999999999999997E-2</v>
      </c>
      <c r="H93" s="1">
        <v>11</v>
      </c>
      <c r="I93" s="1">
        <v>84.7</v>
      </c>
      <c r="J93" s="1">
        <v>0.33</v>
      </c>
      <c r="K93" s="1">
        <v>0</v>
      </c>
      <c r="L93" s="1">
        <v>4.3</v>
      </c>
      <c r="M93" s="1">
        <v>586307.22</v>
      </c>
      <c r="N93" s="1">
        <v>73927.850000000006</v>
      </c>
      <c r="O93">
        <f t="shared" si="6"/>
        <v>0</v>
      </c>
      <c r="P93">
        <f t="shared" si="7"/>
        <v>0</v>
      </c>
      <c r="Q93">
        <f t="shared" si="8"/>
        <v>1</v>
      </c>
      <c r="R93">
        <f t="shared" si="9"/>
        <v>0</v>
      </c>
      <c r="S93">
        <f t="shared" si="10"/>
        <v>0</v>
      </c>
      <c r="T93">
        <f t="shared" si="11"/>
        <v>0</v>
      </c>
    </row>
    <row r="94" spans="1:20">
      <c r="A94" s="1" t="s">
        <v>45</v>
      </c>
      <c r="B94" s="3">
        <v>45658</v>
      </c>
      <c r="C94" s="1" t="s">
        <v>27</v>
      </c>
      <c r="D94" s="1" t="s">
        <v>16</v>
      </c>
      <c r="E94" s="1">
        <v>38966.589999999997</v>
      </c>
      <c r="F94" s="1">
        <v>4509</v>
      </c>
      <c r="G94" s="1">
        <v>0.19400000000000001</v>
      </c>
      <c r="H94" s="1">
        <v>14</v>
      </c>
      <c r="I94" s="1">
        <v>91.1</v>
      </c>
      <c r="J94" s="1">
        <v>2.92</v>
      </c>
      <c r="K94" s="1">
        <v>0</v>
      </c>
      <c r="L94" s="1">
        <v>4.5999999999999996</v>
      </c>
      <c r="M94" s="1">
        <v>585937.48</v>
      </c>
      <c r="N94" s="1">
        <v>82624.2</v>
      </c>
      <c r="O94">
        <f t="shared" si="6"/>
        <v>0</v>
      </c>
      <c r="P94">
        <f t="shared" si="7"/>
        <v>0</v>
      </c>
      <c r="Q94">
        <f t="shared" si="8"/>
        <v>0</v>
      </c>
      <c r="R94">
        <f t="shared" si="9"/>
        <v>1</v>
      </c>
      <c r="S94">
        <f t="shared" si="10"/>
        <v>0</v>
      </c>
      <c r="T94">
        <f t="shared" si="11"/>
        <v>0</v>
      </c>
    </row>
    <row r="95" spans="1:20">
      <c r="A95" s="1" t="s">
        <v>45</v>
      </c>
      <c r="B95" s="3">
        <v>45689</v>
      </c>
      <c r="C95" s="1" t="s">
        <v>27</v>
      </c>
      <c r="D95" s="1" t="s">
        <v>16</v>
      </c>
      <c r="E95" s="1">
        <v>67439.3</v>
      </c>
      <c r="F95" s="1">
        <v>6477</v>
      </c>
      <c r="G95" s="1">
        <v>0</v>
      </c>
      <c r="H95" s="1">
        <v>16</v>
      </c>
      <c r="I95" s="1">
        <v>90.9</v>
      </c>
      <c r="J95" s="1">
        <v>1.64</v>
      </c>
      <c r="K95" s="1">
        <v>0</v>
      </c>
      <c r="L95" s="1">
        <v>4.5</v>
      </c>
      <c r="M95" s="1">
        <v>753473.55</v>
      </c>
      <c r="N95" s="1">
        <v>151527.22</v>
      </c>
      <c r="O95">
        <f t="shared" si="6"/>
        <v>0</v>
      </c>
      <c r="P95">
        <f t="shared" si="7"/>
        <v>0</v>
      </c>
      <c r="Q95">
        <f t="shared" si="8"/>
        <v>0</v>
      </c>
      <c r="R95">
        <f t="shared" si="9"/>
        <v>1</v>
      </c>
      <c r="S95">
        <f t="shared" si="10"/>
        <v>0</v>
      </c>
      <c r="T95">
        <f t="shared" si="11"/>
        <v>0</v>
      </c>
    </row>
    <row r="96" spans="1:20">
      <c r="A96" s="1" t="s">
        <v>45</v>
      </c>
      <c r="B96" s="3">
        <v>45717</v>
      </c>
      <c r="C96" s="1" t="s">
        <v>27</v>
      </c>
      <c r="D96" s="1" t="s">
        <v>16</v>
      </c>
      <c r="E96" s="1">
        <v>86421.88</v>
      </c>
      <c r="F96" s="1">
        <v>7970</v>
      </c>
      <c r="G96" s="1">
        <v>7.2999999999999995E-2</v>
      </c>
      <c r="H96" s="1">
        <v>17</v>
      </c>
      <c r="I96" s="1">
        <v>91.3</v>
      </c>
      <c r="J96" s="1">
        <v>0.8</v>
      </c>
      <c r="K96" s="1">
        <v>0</v>
      </c>
      <c r="L96" s="1">
        <v>5</v>
      </c>
      <c r="M96" s="1">
        <v>838250.32</v>
      </c>
      <c r="N96" s="1">
        <v>122939.34</v>
      </c>
      <c r="O96">
        <f t="shared" si="6"/>
        <v>0</v>
      </c>
      <c r="P96">
        <f t="shared" si="7"/>
        <v>0</v>
      </c>
      <c r="Q96">
        <f t="shared" si="8"/>
        <v>0</v>
      </c>
      <c r="R96">
        <f t="shared" si="9"/>
        <v>1</v>
      </c>
      <c r="S96">
        <f t="shared" si="10"/>
        <v>0</v>
      </c>
      <c r="T96">
        <f t="shared" si="11"/>
        <v>0</v>
      </c>
    </row>
    <row r="97" spans="1:20">
      <c r="A97" s="1" t="s">
        <v>45</v>
      </c>
      <c r="B97" s="3">
        <v>45748</v>
      </c>
      <c r="C97" s="1" t="s">
        <v>27</v>
      </c>
      <c r="D97" s="1" t="s">
        <v>16</v>
      </c>
      <c r="E97" s="1">
        <v>9534.65</v>
      </c>
      <c r="F97" s="1">
        <v>6057</v>
      </c>
      <c r="G97" s="1">
        <v>7.3999999999999996E-2</v>
      </c>
      <c r="H97" s="1">
        <v>15</v>
      </c>
      <c r="I97" s="1">
        <v>94.1</v>
      </c>
      <c r="J97" s="1">
        <v>5.79</v>
      </c>
      <c r="K97" s="1">
        <v>0</v>
      </c>
      <c r="L97" s="1">
        <v>4.5</v>
      </c>
      <c r="M97" s="1">
        <v>607898.12</v>
      </c>
      <c r="N97" s="1">
        <v>135404.85</v>
      </c>
      <c r="O97">
        <f t="shared" si="6"/>
        <v>0</v>
      </c>
      <c r="P97">
        <f t="shared" si="7"/>
        <v>0</v>
      </c>
      <c r="Q97">
        <f t="shared" si="8"/>
        <v>0</v>
      </c>
      <c r="R97">
        <f t="shared" si="9"/>
        <v>1</v>
      </c>
      <c r="S97">
        <f t="shared" si="10"/>
        <v>0</v>
      </c>
      <c r="T97">
        <f t="shared" si="11"/>
        <v>0</v>
      </c>
    </row>
    <row r="98" spans="1:20">
      <c r="A98" s="1" t="s">
        <v>46</v>
      </c>
      <c r="B98" s="3">
        <v>45658</v>
      </c>
      <c r="C98" s="1" t="s">
        <v>27</v>
      </c>
      <c r="D98" s="1" t="s">
        <v>28</v>
      </c>
      <c r="E98" s="1">
        <v>61132.07</v>
      </c>
      <c r="F98" s="1">
        <v>6394</v>
      </c>
      <c r="G98" s="1">
        <v>0.16300000000000001</v>
      </c>
      <c r="H98" s="1">
        <v>19</v>
      </c>
      <c r="I98" s="1">
        <v>91</v>
      </c>
      <c r="J98" s="1">
        <v>19.600000000000001</v>
      </c>
      <c r="K98" s="1">
        <v>0</v>
      </c>
      <c r="L98" s="1">
        <v>4.4000000000000004</v>
      </c>
      <c r="M98" s="1">
        <v>691113.62</v>
      </c>
      <c r="N98" s="1">
        <v>135145.44</v>
      </c>
      <c r="O98">
        <f t="shared" si="6"/>
        <v>0</v>
      </c>
      <c r="P98">
        <f t="shared" si="7"/>
        <v>0</v>
      </c>
      <c r="Q98">
        <f t="shared" si="8"/>
        <v>0</v>
      </c>
      <c r="R98">
        <f t="shared" si="9"/>
        <v>0</v>
      </c>
      <c r="S98">
        <f t="shared" si="10"/>
        <v>0</v>
      </c>
      <c r="T98">
        <f t="shared" si="11"/>
        <v>0</v>
      </c>
    </row>
    <row r="99" spans="1:20">
      <c r="A99" s="1" t="s">
        <v>46</v>
      </c>
      <c r="B99" s="3">
        <v>45689</v>
      </c>
      <c r="C99" s="1" t="s">
        <v>27</v>
      </c>
      <c r="D99" s="1" t="s">
        <v>28</v>
      </c>
      <c r="E99" s="1">
        <v>78839.39</v>
      </c>
      <c r="F99" s="1">
        <v>5150</v>
      </c>
      <c r="G99" s="1">
        <v>0.17100000000000001</v>
      </c>
      <c r="H99" s="1">
        <v>13</v>
      </c>
      <c r="I99" s="1">
        <v>85.8</v>
      </c>
      <c r="J99" s="1">
        <v>7.57</v>
      </c>
      <c r="K99" s="1">
        <v>0</v>
      </c>
      <c r="L99" s="1">
        <v>4.3</v>
      </c>
      <c r="M99" s="1">
        <v>735509.4</v>
      </c>
      <c r="N99" s="1">
        <v>83895.96</v>
      </c>
      <c r="O99">
        <f t="shared" si="6"/>
        <v>0</v>
      </c>
      <c r="P99">
        <f t="shared" si="7"/>
        <v>0</v>
      </c>
      <c r="Q99">
        <f t="shared" si="8"/>
        <v>0</v>
      </c>
      <c r="R99">
        <f t="shared" si="9"/>
        <v>0</v>
      </c>
      <c r="S99">
        <f t="shared" si="10"/>
        <v>0</v>
      </c>
      <c r="T99">
        <f t="shared" si="11"/>
        <v>0</v>
      </c>
    </row>
    <row r="100" spans="1:20">
      <c r="A100" s="1" t="s">
        <v>46</v>
      </c>
      <c r="B100" s="3">
        <v>45717</v>
      </c>
      <c r="C100" s="1" t="s">
        <v>27</v>
      </c>
      <c r="D100" s="1" t="s">
        <v>28</v>
      </c>
      <c r="E100" s="1">
        <v>38752.800000000003</v>
      </c>
      <c r="F100" s="1">
        <v>4712</v>
      </c>
      <c r="G100" s="1">
        <v>7.4999999999999997E-2</v>
      </c>
      <c r="H100" s="1">
        <v>15</v>
      </c>
      <c r="I100" s="1">
        <v>89.7</v>
      </c>
      <c r="J100" s="1"/>
      <c r="K100" s="1">
        <v>0</v>
      </c>
      <c r="L100" s="1">
        <v>4.3</v>
      </c>
      <c r="M100" s="1">
        <v>605775.32999999996</v>
      </c>
      <c r="N100" s="1">
        <v>107194.6</v>
      </c>
      <c r="O100">
        <f t="shared" si="6"/>
        <v>0</v>
      </c>
      <c r="P100">
        <f t="shared" si="7"/>
        <v>0</v>
      </c>
      <c r="Q100">
        <f t="shared" si="8"/>
        <v>0</v>
      </c>
      <c r="R100">
        <f t="shared" si="9"/>
        <v>0</v>
      </c>
      <c r="S100">
        <f t="shared" si="10"/>
        <v>0</v>
      </c>
      <c r="T100">
        <f t="shared" si="11"/>
        <v>0</v>
      </c>
    </row>
    <row r="101" spans="1:20">
      <c r="A101" s="1" t="s">
        <v>46</v>
      </c>
      <c r="B101" s="3">
        <v>45748</v>
      </c>
      <c r="C101" s="1" t="s">
        <v>27</v>
      </c>
      <c r="D101" s="1" t="s">
        <v>28</v>
      </c>
      <c r="E101" s="1">
        <v>55101.1</v>
      </c>
      <c r="F101" s="1">
        <v>5281</v>
      </c>
      <c r="G101" s="1">
        <v>0.189</v>
      </c>
      <c r="H101" s="1">
        <v>11</v>
      </c>
      <c r="I101" s="1">
        <v>91</v>
      </c>
      <c r="J101" s="1">
        <v>2.7</v>
      </c>
      <c r="K101" s="1">
        <v>0</v>
      </c>
      <c r="L101" s="1">
        <v>4.4000000000000004</v>
      </c>
      <c r="M101" s="1">
        <v>675177.68</v>
      </c>
      <c r="N101" s="1">
        <v>105628.68</v>
      </c>
      <c r="O101">
        <f t="shared" si="6"/>
        <v>0</v>
      </c>
      <c r="P101">
        <f t="shared" si="7"/>
        <v>0</v>
      </c>
      <c r="Q101">
        <f t="shared" si="8"/>
        <v>0</v>
      </c>
      <c r="R101">
        <f t="shared" si="9"/>
        <v>0</v>
      </c>
      <c r="S101">
        <f t="shared" si="10"/>
        <v>0</v>
      </c>
      <c r="T101">
        <f t="shared" si="11"/>
        <v>0</v>
      </c>
    </row>
    <row r="102" spans="1:20">
      <c r="A102" s="1" t="s">
        <v>47</v>
      </c>
      <c r="B102" s="3">
        <v>45658</v>
      </c>
      <c r="C102" s="1" t="s">
        <v>15</v>
      </c>
      <c r="D102" s="1" t="s">
        <v>28</v>
      </c>
      <c r="E102" s="1">
        <v>53084.76</v>
      </c>
      <c r="F102" s="1">
        <v>3642</v>
      </c>
      <c r="G102" s="1">
        <v>0.15</v>
      </c>
      <c r="H102" s="1">
        <v>12</v>
      </c>
      <c r="I102" s="1">
        <v>91.4</v>
      </c>
      <c r="J102" s="1">
        <v>0.2</v>
      </c>
      <c r="K102" s="1">
        <v>0</v>
      </c>
      <c r="L102" s="1">
        <v>4.4000000000000004</v>
      </c>
      <c r="M102" s="1">
        <v>635181.35</v>
      </c>
      <c r="N102" s="1">
        <v>83341.25</v>
      </c>
      <c r="O102">
        <f t="shared" si="6"/>
        <v>1</v>
      </c>
      <c r="P102">
        <f t="shared" si="7"/>
        <v>0</v>
      </c>
      <c r="Q102">
        <f t="shared" si="8"/>
        <v>0</v>
      </c>
      <c r="R102">
        <f t="shared" si="9"/>
        <v>0</v>
      </c>
      <c r="S102">
        <f t="shared" si="10"/>
        <v>0</v>
      </c>
      <c r="T102">
        <f t="shared" si="11"/>
        <v>0</v>
      </c>
    </row>
    <row r="103" spans="1:20">
      <c r="A103" s="1" t="s">
        <v>47</v>
      </c>
      <c r="B103" s="3">
        <v>45689</v>
      </c>
      <c r="C103" s="1" t="s">
        <v>15</v>
      </c>
      <c r="D103" s="1" t="s">
        <v>28</v>
      </c>
      <c r="E103" s="1">
        <v>63101.59</v>
      </c>
      <c r="F103" s="1">
        <v>4373</v>
      </c>
      <c r="G103" s="1">
        <v>0.17299999999999999</v>
      </c>
      <c r="H103" s="1">
        <v>14</v>
      </c>
      <c r="I103" s="1">
        <v>90.4</v>
      </c>
      <c r="J103" s="1">
        <v>7.87</v>
      </c>
      <c r="K103" s="1">
        <v>0</v>
      </c>
      <c r="L103" s="1">
        <v>4.7</v>
      </c>
      <c r="M103" s="1">
        <v>586626.93999999994</v>
      </c>
      <c r="N103" s="1">
        <v>86498.55</v>
      </c>
      <c r="O103">
        <f t="shared" si="6"/>
        <v>1</v>
      </c>
      <c r="P103">
        <f t="shared" si="7"/>
        <v>0</v>
      </c>
      <c r="Q103">
        <f t="shared" si="8"/>
        <v>0</v>
      </c>
      <c r="R103">
        <f t="shared" si="9"/>
        <v>0</v>
      </c>
      <c r="S103">
        <f t="shared" si="10"/>
        <v>0</v>
      </c>
      <c r="T103">
        <f t="shared" si="11"/>
        <v>0</v>
      </c>
    </row>
    <row r="104" spans="1:20">
      <c r="A104" s="1" t="s">
        <v>47</v>
      </c>
      <c r="B104" s="3">
        <v>45717</v>
      </c>
      <c r="C104" s="1" t="s">
        <v>15</v>
      </c>
      <c r="D104" s="1" t="s">
        <v>28</v>
      </c>
      <c r="E104" s="1">
        <v>90084.4</v>
      </c>
      <c r="F104" s="1">
        <v>6832</v>
      </c>
      <c r="G104" s="1">
        <v>0.185</v>
      </c>
      <c r="H104" s="1">
        <v>14</v>
      </c>
      <c r="I104" s="1">
        <v>80.5</v>
      </c>
      <c r="J104" s="1">
        <v>0.77</v>
      </c>
      <c r="K104" s="1">
        <v>1</v>
      </c>
      <c r="L104" s="1">
        <v>4.4000000000000004</v>
      </c>
      <c r="M104" s="1">
        <v>740102.64</v>
      </c>
      <c r="N104" s="1">
        <v>114299.07</v>
      </c>
      <c r="O104">
        <f t="shared" si="6"/>
        <v>1</v>
      </c>
      <c r="P104">
        <f t="shared" si="7"/>
        <v>0</v>
      </c>
      <c r="Q104">
        <f t="shared" si="8"/>
        <v>0</v>
      </c>
      <c r="R104">
        <f t="shared" si="9"/>
        <v>0</v>
      </c>
      <c r="S104">
        <f t="shared" si="10"/>
        <v>0</v>
      </c>
      <c r="T104">
        <f t="shared" si="11"/>
        <v>0</v>
      </c>
    </row>
    <row r="105" spans="1:20">
      <c r="A105" s="1" t="s">
        <v>47</v>
      </c>
      <c r="B105" s="3">
        <v>45748</v>
      </c>
      <c r="C105" s="1" t="s">
        <v>15</v>
      </c>
      <c r="D105" s="1" t="s">
        <v>28</v>
      </c>
      <c r="E105" s="1">
        <v>32266.639999999999</v>
      </c>
      <c r="F105" s="1">
        <v>2414</v>
      </c>
      <c r="G105" s="1">
        <v>0.08</v>
      </c>
      <c r="H105" s="1">
        <v>7</v>
      </c>
      <c r="I105" s="1">
        <v>92.1</v>
      </c>
      <c r="J105" s="1">
        <v>1.48</v>
      </c>
      <c r="K105" s="1">
        <v>0</v>
      </c>
      <c r="L105" s="1">
        <v>5</v>
      </c>
      <c r="M105" s="1">
        <v>625514.04</v>
      </c>
      <c r="N105" s="1">
        <v>120685.08</v>
      </c>
      <c r="O105">
        <f t="shared" si="6"/>
        <v>1</v>
      </c>
      <c r="P105">
        <f t="shared" si="7"/>
        <v>0</v>
      </c>
      <c r="Q105">
        <f t="shared" si="8"/>
        <v>0</v>
      </c>
      <c r="R105">
        <f t="shared" si="9"/>
        <v>0</v>
      </c>
      <c r="S105">
        <f t="shared" si="10"/>
        <v>0</v>
      </c>
      <c r="T105">
        <f t="shared" si="11"/>
        <v>0</v>
      </c>
    </row>
    <row r="106" spans="1:20">
      <c r="A106" s="1" t="s">
        <v>48</v>
      </c>
      <c r="B106" s="3">
        <v>45658</v>
      </c>
      <c r="C106" s="1" t="s">
        <v>27</v>
      </c>
      <c r="D106" s="1" t="s">
        <v>18</v>
      </c>
      <c r="E106" s="1">
        <v>57919.07</v>
      </c>
      <c r="F106" s="1">
        <v>7374</v>
      </c>
      <c r="G106" s="1">
        <v>0.10299999999999999</v>
      </c>
      <c r="H106" s="1">
        <v>21</v>
      </c>
      <c r="I106" s="1">
        <v>82.3</v>
      </c>
      <c r="J106" s="1">
        <v>2.87</v>
      </c>
      <c r="K106" s="1">
        <v>0</v>
      </c>
      <c r="L106" s="1">
        <v>2.9</v>
      </c>
      <c r="M106" s="1">
        <v>727227.2</v>
      </c>
      <c r="N106" s="1">
        <v>121292.01</v>
      </c>
      <c r="O106">
        <f t="shared" si="6"/>
        <v>0</v>
      </c>
      <c r="P106">
        <f t="shared" si="7"/>
        <v>0</v>
      </c>
      <c r="Q106">
        <f t="shared" si="8"/>
        <v>0</v>
      </c>
      <c r="R106">
        <f t="shared" si="9"/>
        <v>0</v>
      </c>
      <c r="S106">
        <f t="shared" si="10"/>
        <v>1</v>
      </c>
      <c r="T106">
        <f t="shared" si="11"/>
        <v>0</v>
      </c>
    </row>
    <row r="107" spans="1:20">
      <c r="A107" s="1" t="s">
        <v>48</v>
      </c>
      <c r="B107" s="3">
        <v>45689</v>
      </c>
      <c r="C107" s="1" t="s">
        <v>27</v>
      </c>
      <c r="D107" s="1" t="s">
        <v>18</v>
      </c>
      <c r="E107" s="1">
        <v>74679.350000000006</v>
      </c>
      <c r="F107" s="1">
        <v>8739</v>
      </c>
      <c r="G107" s="1">
        <v>5.6000000000000001E-2</v>
      </c>
      <c r="H107" s="1">
        <v>21</v>
      </c>
      <c r="I107" s="1">
        <v>91.8</v>
      </c>
      <c r="J107" s="1">
        <v>2.83</v>
      </c>
      <c r="K107" s="1">
        <v>0</v>
      </c>
      <c r="L107" s="1">
        <v>3</v>
      </c>
      <c r="M107" s="1">
        <v>783797.89</v>
      </c>
      <c r="N107" s="1">
        <v>157620.70000000001</v>
      </c>
      <c r="O107">
        <f t="shared" si="6"/>
        <v>0</v>
      </c>
      <c r="P107">
        <f t="shared" si="7"/>
        <v>0</v>
      </c>
      <c r="Q107">
        <f t="shared" si="8"/>
        <v>0</v>
      </c>
      <c r="R107">
        <f t="shared" si="9"/>
        <v>0</v>
      </c>
      <c r="S107">
        <f t="shared" si="10"/>
        <v>1</v>
      </c>
      <c r="T107">
        <f t="shared" si="11"/>
        <v>0</v>
      </c>
    </row>
    <row r="108" spans="1:20">
      <c r="A108" s="1" t="s">
        <v>48</v>
      </c>
      <c r="B108" s="3">
        <v>45717</v>
      </c>
      <c r="C108" s="1" t="s">
        <v>27</v>
      </c>
      <c r="D108" s="1" t="s">
        <v>18</v>
      </c>
      <c r="E108" s="1">
        <v>64294.23</v>
      </c>
      <c r="F108" s="1">
        <v>6992</v>
      </c>
      <c r="G108" s="1">
        <v>0.13300000000000001</v>
      </c>
      <c r="H108" s="1">
        <v>14</v>
      </c>
      <c r="I108" s="1">
        <v>94.1</v>
      </c>
      <c r="J108" s="1">
        <v>0.25</v>
      </c>
      <c r="K108" s="1">
        <v>0</v>
      </c>
      <c r="L108" s="1">
        <v>3</v>
      </c>
      <c r="M108" s="1">
        <v>795153.84</v>
      </c>
      <c r="N108" s="1">
        <v>143194.21</v>
      </c>
      <c r="O108">
        <f t="shared" si="6"/>
        <v>0</v>
      </c>
      <c r="P108">
        <f t="shared" si="7"/>
        <v>0</v>
      </c>
      <c r="Q108">
        <f t="shared" si="8"/>
        <v>0</v>
      </c>
      <c r="R108">
        <f t="shared" si="9"/>
        <v>0</v>
      </c>
      <c r="S108">
        <f t="shared" si="10"/>
        <v>1</v>
      </c>
      <c r="T108">
        <f t="shared" si="11"/>
        <v>0</v>
      </c>
    </row>
    <row r="109" spans="1:20">
      <c r="A109" s="1" t="s">
        <v>48</v>
      </c>
      <c r="B109" s="3">
        <v>45748</v>
      </c>
      <c r="C109" s="1" t="s">
        <v>27</v>
      </c>
      <c r="D109" s="1" t="s">
        <v>18</v>
      </c>
      <c r="E109" s="1">
        <v>31042.03</v>
      </c>
      <c r="F109" s="1">
        <v>7107</v>
      </c>
      <c r="G109" s="1">
        <v>5.0999999999999997E-2</v>
      </c>
      <c r="H109" s="1">
        <v>15</v>
      </c>
      <c r="I109" s="1">
        <v>87</v>
      </c>
      <c r="J109" s="1">
        <v>13.33</v>
      </c>
      <c r="K109" s="1">
        <v>0</v>
      </c>
      <c r="L109" s="1">
        <v>3.2</v>
      </c>
      <c r="M109" s="1">
        <v>665594.93999999994</v>
      </c>
      <c r="N109" s="1">
        <v>127597.34</v>
      </c>
      <c r="O109">
        <f t="shared" si="6"/>
        <v>0</v>
      </c>
      <c r="P109">
        <f t="shared" si="7"/>
        <v>0</v>
      </c>
      <c r="Q109">
        <f t="shared" si="8"/>
        <v>0</v>
      </c>
      <c r="R109">
        <f t="shared" si="9"/>
        <v>0</v>
      </c>
      <c r="S109">
        <f t="shared" si="10"/>
        <v>1</v>
      </c>
      <c r="T109">
        <f t="shared" si="11"/>
        <v>0</v>
      </c>
    </row>
    <row r="110" spans="1:20">
      <c r="A110" s="1" t="s">
        <v>49</v>
      </c>
      <c r="B110" s="3">
        <v>45658</v>
      </c>
      <c r="C110" s="1" t="s">
        <v>15</v>
      </c>
      <c r="D110" s="1" t="s">
        <v>28</v>
      </c>
      <c r="E110" s="1">
        <v>75265.02</v>
      </c>
      <c r="F110" s="1">
        <v>6975</v>
      </c>
      <c r="G110" s="1">
        <v>0.157</v>
      </c>
      <c r="H110" s="1">
        <v>20</v>
      </c>
      <c r="I110" s="1">
        <v>73.8</v>
      </c>
      <c r="J110" s="1">
        <v>6.35</v>
      </c>
      <c r="K110" s="1">
        <v>1</v>
      </c>
      <c r="L110" s="1">
        <v>3.8</v>
      </c>
      <c r="M110" s="1">
        <v>709478.39</v>
      </c>
      <c r="N110" s="1">
        <v>71294.27</v>
      </c>
      <c r="O110">
        <f t="shared" si="6"/>
        <v>1</v>
      </c>
      <c r="P110">
        <f t="shared" si="7"/>
        <v>0</v>
      </c>
      <c r="Q110">
        <f t="shared" si="8"/>
        <v>0</v>
      </c>
      <c r="R110">
        <f t="shared" si="9"/>
        <v>0</v>
      </c>
      <c r="S110">
        <f t="shared" si="10"/>
        <v>0</v>
      </c>
      <c r="T110">
        <f t="shared" si="11"/>
        <v>0</v>
      </c>
    </row>
    <row r="111" spans="1:20">
      <c r="A111" s="1" t="s">
        <v>49</v>
      </c>
      <c r="B111" s="3">
        <v>45689</v>
      </c>
      <c r="C111" s="1" t="s">
        <v>15</v>
      </c>
      <c r="D111" s="1" t="s">
        <v>28</v>
      </c>
      <c r="E111" s="1">
        <v>69411.7</v>
      </c>
      <c r="F111" s="1">
        <v>5493</v>
      </c>
      <c r="G111" s="1">
        <v>0.29199999999999998</v>
      </c>
      <c r="H111" s="1">
        <v>13</v>
      </c>
      <c r="I111" s="1">
        <v>86.5</v>
      </c>
      <c r="J111" s="1">
        <v>6.69</v>
      </c>
      <c r="K111" s="1">
        <v>0</v>
      </c>
      <c r="L111" s="1">
        <v>3.8</v>
      </c>
      <c r="M111" s="1">
        <v>664162.49</v>
      </c>
      <c r="N111" s="1">
        <v>98291.06</v>
      </c>
      <c r="O111">
        <f t="shared" si="6"/>
        <v>1</v>
      </c>
      <c r="P111">
        <f t="shared" si="7"/>
        <v>0</v>
      </c>
      <c r="Q111">
        <f t="shared" si="8"/>
        <v>0</v>
      </c>
      <c r="R111">
        <f t="shared" si="9"/>
        <v>0</v>
      </c>
      <c r="S111">
        <f t="shared" si="10"/>
        <v>0</v>
      </c>
      <c r="T111">
        <f t="shared" si="11"/>
        <v>0</v>
      </c>
    </row>
    <row r="112" spans="1:20">
      <c r="A112" s="1" t="s">
        <v>49</v>
      </c>
      <c r="B112" s="3">
        <v>45717</v>
      </c>
      <c r="C112" s="1" t="s">
        <v>15</v>
      </c>
      <c r="D112" s="1" t="s">
        <v>28</v>
      </c>
      <c r="E112" s="1">
        <v>51056.15</v>
      </c>
      <c r="F112" s="1">
        <v>5686</v>
      </c>
      <c r="G112" s="1">
        <v>8.8999999999999996E-2</v>
      </c>
      <c r="H112" s="1">
        <v>13</v>
      </c>
      <c r="I112" s="1">
        <v>89.9</v>
      </c>
      <c r="J112" s="1">
        <v>1.28</v>
      </c>
      <c r="K112" s="1">
        <v>0</v>
      </c>
      <c r="L112" s="1">
        <v>4.2</v>
      </c>
      <c r="M112" s="1">
        <v>633494.21</v>
      </c>
      <c r="N112" s="1">
        <v>105739.47</v>
      </c>
      <c r="O112">
        <f t="shared" si="6"/>
        <v>1</v>
      </c>
      <c r="P112">
        <f t="shared" si="7"/>
        <v>0</v>
      </c>
      <c r="Q112">
        <f t="shared" si="8"/>
        <v>0</v>
      </c>
      <c r="R112">
        <f t="shared" si="9"/>
        <v>0</v>
      </c>
      <c r="S112">
        <f t="shared" si="10"/>
        <v>0</v>
      </c>
      <c r="T112">
        <f t="shared" si="11"/>
        <v>0</v>
      </c>
    </row>
    <row r="113" spans="1:20">
      <c r="A113" s="1" t="s">
        <v>49</v>
      </c>
      <c r="B113" s="3">
        <v>45748</v>
      </c>
      <c r="C113" s="1" t="s">
        <v>15</v>
      </c>
      <c r="D113" s="1" t="s">
        <v>28</v>
      </c>
      <c r="E113" s="1">
        <v>52758.01</v>
      </c>
      <c r="F113" s="1">
        <v>4063</v>
      </c>
      <c r="G113" s="1">
        <v>5.7000000000000002E-2</v>
      </c>
      <c r="H113" s="1">
        <v>12</v>
      </c>
      <c r="I113" s="1">
        <v>91.7</v>
      </c>
      <c r="J113" s="1">
        <v>0.92</v>
      </c>
      <c r="K113" s="1">
        <v>0</v>
      </c>
      <c r="L113" s="1">
        <v>3.5</v>
      </c>
      <c r="M113" s="1">
        <v>713611.16</v>
      </c>
      <c r="N113" s="1">
        <v>129717.18</v>
      </c>
      <c r="O113">
        <f t="shared" si="6"/>
        <v>1</v>
      </c>
      <c r="P113">
        <f t="shared" si="7"/>
        <v>0</v>
      </c>
      <c r="Q113">
        <f t="shared" si="8"/>
        <v>0</v>
      </c>
      <c r="R113">
        <f t="shared" si="9"/>
        <v>0</v>
      </c>
      <c r="S113">
        <f t="shared" si="10"/>
        <v>0</v>
      </c>
      <c r="T113">
        <f t="shared" si="11"/>
        <v>0</v>
      </c>
    </row>
    <row r="114" spans="1:20">
      <c r="A114" s="1" t="s">
        <v>50</v>
      </c>
      <c r="B114" s="3">
        <v>45658</v>
      </c>
      <c r="C114" s="1" t="s">
        <v>27</v>
      </c>
      <c r="D114" s="1" t="s">
        <v>28</v>
      </c>
      <c r="E114" s="1">
        <v>61426.04</v>
      </c>
      <c r="F114" s="1">
        <v>8966</v>
      </c>
      <c r="G114" s="1">
        <v>0.17299999999999999</v>
      </c>
      <c r="H114" s="1">
        <v>22</v>
      </c>
      <c r="I114" s="1">
        <v>76.400000000000006</v>
      </c>
      <c r="J114" s="1">
        <v>1.05</v>
      </c>
      <c r="K114" s="1">
        <v>0</v>
      </c>
      <c r="L114" s="1">
        <v>3.1</v>
      </c>
      <c r="M114" s="1">
        <v>778397.97</v>
      </c>
      <c r="N114" s="1">
        <v>120044.41</v>
      </c>
      <c r="O114">
        <f t="shared" si="6"/>
        <v>0</v>
      </c>
      <c r="P114">
        <f t="shared" si="7"/>
        <v>0</v>
      </c>
      <c r="Q114">
        <f t="shared" si="8"/>
        <v>0</v>
      </c>
      <c r="R114">
        <f t="shared" si="9"/>
        <v>0</v>
      </c>
      <c r="S114">
        <f t="shared" si="10"/>
        <v>0</v>
      </c>
      <c r="T114">
        <f t="shared" si="11"/>
        <v>0</v>
      </c>
    </row>
    <row r="115" spans="1:20">
      <c r="A115" s="1" t="s">
        <v>50</v>
      </c>
      <c r="B115" s="3">
        <v>45689</v>
      </c>
      <c r="C115" s="1" t="s">
        <v>27</v>
      </c>
      <c r="D115" s="1" t="s">
        <v>28</v>
      </c>
      <c r="E115" s="1">
        <v>80176.34</v>
      </c>
      <c r="F115" s="1">
        <v>9489</v>
      </c>
      <c r="G115" s="1">
        <v>0.14199999999999999</v>
      </c>
      <c r="H115" s="1">
        <v>22</v>
      </c>
      <c r="I115" s="1">
        <v>94.3</v>
      </c>
      <c r="J115" s="1">
        <v>2.67</v>
      </c>
      <c r="K115" s="1">
        <v>0</v>
      </c>
      <c r="L115" s="1">
        <v>3.5</v>
      </c>
      <c r="M115" s="1">
        <v>873380.02</v>
      </c>
      <c r="N115" s="1">
        <v>149734.76</v>
      </c>
      <c r="O115">
        <f t="shared" si="6"/>
        <v>0</v>
      </c>
      <c r="P115">
        <f t="shared" si="7"/>
        <v>0</v>
      </c>
      <c r="Q115">
        <f t="shared" si="8"/>
        <v>0</v>
      </c>
      <c r="R115">
        <f t="shared" si="9"/>
        <v>0</v>
      </c>
      <c r="S115">
        <f t="shared" si="10"/>
        <v>0</v>
      </c>
      <c r="T115">
        <f t="shared" si="11"/>
        <v>0</v>
      </c>
    </row>
    <row r="116" spans="1:20">
      <c r="A116" s="1" t="s">
        <v>50</v>
      </c>
      <c r="B116" s="3">
        <v>45717</v>
      </c>
      <c r="C116" s="1" t="s">
        <v>27</v>
      </c>
      <c r="D116" s="1" t="s">
        <v>28</v>
      </c>
      <c r="E116" s="1">
        <v>33605.18</v>
      </c>
      <c r="F116" s="1">
        <v>9225</v>
      </c>
      <c r="G116" s="1">
        <v>0.159</v>
      </c>
      <c r="H116" s="1">
        <v>23</v>
      </c>
      <c r="I116" s="1">
        <v>88.4</v>
      </c>
      <c r="J116" s="1">
        <v>5.91</v>
      </c>
      <c r="K116" s="1">
        <v>0</v>
      </c>
      <c r="L116" s="1">
        <v>2.8</v>
      </c>
      <c r="M116" s="1">
        <v>697287.9</v>
      </c>
      <c r="N116" s="1">
        <v>128208.33</v>
      </c>
      <c r="O116">
        <f t="shared" si="6"/>
        <v>0</v>
      </c>
      <c r="P116">
        <f t="shared" si="7"/>
        <v>0</v>
      </c>
      <c r="Q116">
        <f t="shared" si="8"/>
        <v>0</v>
      </c>
      <c r="R116">
        <f t="shared" si="9"/>
        <v>0</v>
      </c>
      <c r="S116">
        <f t="shared" si="10"/>
        <v>0</v>
      </c>
      <c r="T116">
        <f t="shared" si="11"/>
        <v>0</v>
      </c>
    </row>
    <row r="117" spans="1:20">
      <c r="A117" s="1" t="s">
        <v>50</v>
      </c>
      <c r="B117" s="3">
        <v>45748</v>
      </c>
      <c r="C117" s="1" t="s">
        <v>27</v>
      </c>
      <c r="D117" s="1" t="s">
        <v>28</v>
      </c>
      <c r="E117" s="1">
        <v>25990.54</v>
      </c>
      <c r="F117" s="1">
        <v>9249</v>
      </c>
      <c r="G117" s="1">
        <v>0.13900000000000001</v>
      </c>
      <c r="H117" s="1">
        <v>23</v>
      </c>
      <c r="I117" s="1">
        <v>92.5</v>
      </c>
      <c r="J117" s="1">
        <v>6.37</v>
      </c>
      <c r="K117" s="1">
        <v>0</v>
      </c>
      <c r="L117" s="1">
        <v>3.3</v>
      </c>
      <c r="M117" s="1">
        <v>718074.79</v>
      </c>
      <c r="N117" s="1">
        <v>115819.87</v>
      </c>
      <c r="O117">
        <f t="shared" si="6"/>
        <v>0</v>
      </c>
      <c r="P117">
        <f t="shared" si="7"/>
        <v>0</v>
      </c>
      <c r="Q117">
        <f t="shared" si="8"/>
        <v>0</v>
      </c>
      <c r="R117">
        <f t="shared" si="9"/>
        <v>0</v>
      </c>
      <c r="S117">
        <f t="shared" si="10"/>
        <v>0</v>
      </c>
      <c r="T117">
        <f t="shared" si="11"/>
        <v>0</v>
      </c>
    </row>
    <row r="118" spans="1:20">
      <c r="A118" s="1" t="s">
        <v>51</v>
      </c>
      <c r="B118" s="3">
        <v>45658</v>
      </c>
      <c r="C118" s="1" t="s">
        <v>27</v>
      </c>
      <c r="D118" s="1" t="s">
        <v>16</v>
      </c>
      <c r="E118" s="1">
        <v>43685.14</v>
      </c>
      <c r="F118" s="1">
        <v>7821</v>
      </c>
      <c r="G118" s="1">
        <v>0.19</v>
      </c>
      <c r="H118" s="1">
        <v>17</v>
      </c>
      <c r="I118" s="1">
        <v>91</v>
      </c>
      <c r="J118" s="1">
        <v>2.4900000000000002</v>
      </c>
      <c r="K118" s="1">
        <v>1</v>
      </c>
      <c r="L118" s="1">
        <v>4.7</v>
      </c>
      <c r="M118" s="1">
        <v>714942.43</v>
      </c>
      <c r="N118" s="1">
        <v>94697.71</v>
      </c>
      <c r="O118">
        <f t="shared" si="6"/>
        <v>0</v>
      </c>
      <c r="P118">
        <f t="shared" si="7"/>
        <v>0</v>
      </c>
      <c r="Q118">
        <f t="shared" si="8"/>
        <v>0</v>
      </c>
      <c r="R118">
        <f t="shared" si="9"/>
        <v>1</v>
      </c>
      <c r="S118">
        <f t="shared" si="10"/>
        <v>0</v>
      </c>
      <c r="T118">
        <f t="shared" si="11"/>
        <v>0</v>
      </c>
    </row>
    <row r="119" spans="1:20">
      <c r="A119" s="1" t="s">
        <v>51</v>
      </c>
      <c r="B119" s="3">
        <v>45689</v>
      </c>
      <c r="C119" s="1" t="s">
        <v>27</v>
      </c>
      <c r="D119" s="1" t="s">
        <v>16</v>
      </c>
      <c r="E119" s="1">
        <v>57360.01</v>
      </c>
      <c r="F119" s="1">
        <v>8434</v>
      </c>
      <c r="G119" s="1">
        <v>0.151</v>
      </c>
      <c r="H119" s="1">
        <v>19</v>
      </c>
      <c r="I119" s="1">
        <v>84.1</v>
      </c>
      <c r="J119" s="1">
        <v>1.56</v>
      </c>
      <c r="K119" s="1">
        <v>0</v>
      </c>
      <c r="L119" s="1">
        <v>4.7</v>
      </c>
      <c r="M119" s="1">
        <v>820519.04</v>
      </c>
      <c r="N119" s="1">
        <v>99035.88</v>
      </c>
      <c r="O119">
        <f t="shared" si="6"/>
        <v>0</v>
      </c>
      <c r="P119">
        <f t="shared" si="7"/>
        <v>0</v>
      </c>
      <c r="Q119">
        <f t="shared" si="8"/>
        <v>0</v>
      </c>
      <c r="R119">
        <f t="shared" si="9"/>
        <v>1</v>
      </c>
      <c r="S119">
        <f t="shared" si="10"/>
        <v>0</v>
      </c>
      <c r="T119">
        <f t="shared" si="11"/>
        <v>0</v>
      </c>
    </row>
    <row r="120" spans="1:20">
      <c r="A120" s="1" t="s">
        <v>51</v>
      </c>
      <c r="B120" s="3">
        <v>45717</v>
      </c>
      <c r="C120" s="1" t="s">
        <v>27</v>
      </c>
      <c r="D120" s="1" t="s">
        <v>16</v>
      </c>
      <c r="E120" s="1">
        <v>42415.47</v>
      </c>
      <c r="F120" s="1">
        <v>8512</v>
      </c>
      <c r="G120" s="1">
        <v>0.13300000000000001</v>
      </c>
      <c r="H120" s="1">
        <v>18</v>
      </c>
      <c r="I120" s="1">
        <v>96.8</v>
      </c>
      <c r="J120" s="1">
        <v>14.95</v>
      </c>
      <c r="K120" s="1">
        <v>0</v>
      </c>
      <c r="L120" s="1">
        <v>4.5999999999999996</v>
      </c>
      <c r="M120" s="1">
        <v>684217.32</v>
      </c>
      <c r="N120" s="1">
        <v>136217.19</v>
      </c>
      <c r="O120">
        <f t="shared" si="6"/>
        <v>0</v>
      </c>
      <c r="P120">
        <f t="shared" si="7"/>
        <v>0</v>
      </c>
      <c r="Q120">
        <f t="shared" si="8"/>
        <v>0</v>
      </c>
      <c r="R120">
        <f t="shared" si="9"/>
        <v>1</v>
      </c>
      <c r="S120">
        <f t="shared" si="10"/>
        <v>0</v>
      </c>
      <c r="T120">
        <f t="shared" si="11"/>
        <v>0</v>
      </c>
    </row>
    <row r="121" spans="1:20">
      <c r="A121" s="1" t="s">
        <v>51</v>
      </c>
      <c r="B121" s="3">
        <v>45748</v>
      </c>
      <c r="C121" s="1" t="s">
        <v>27</v>
      </c>
      <c r="D121" s="1" t="s">
        <v>16</v>
      </c>
      <c r="E121" s="1">
        <v>54968.98</v>
      </c>
      <c r="F121" s="1">
        <v>7816</v>
      </c>
      <c r="G121" s="1">
        <v>0.23200000000000001</v>
      </c>
      <c r="H121" s="1">
        <v>19</v>
      </c>
      <c r="I121" s="1">
        <v>95.7</v>
      </c>
      <c r="J121" s="1">
        <v>7.85</v>
      </c>
      <c r="K121" s="1">
        <v>0</v>
      </c>
      <c r="L121" s="1">
        <v>4.7</v>
      </c>
      <c r="M121" s="1">
        <v>735480.19</v>
      </c>
      <c r="N121" s="1">
        <v>88342.11</v>
      </c>
      <c r="O121">
        <f t="shared" si="6"/>
        <v>0</v>
      </c>
      <c r="P121">
        <f t="shared" si="7"/>
        <v>0</v>
      </c>
      <c r="Q121">
        <f t="shared" si="8"/>
        <v>0</v>
      </c>
      <c r="R121">
        <f t="shared" si="9"/>
        <v>1</v>
      </c>
      <c r="S121">
        <f t="shared" si="10"/>
        <v>0</v>
      </c>
      <c r="T121">
        <f t="shared" si="11"/>
        <v>0</v>
      </c>
    </row>
    <row r="122" spans="1:20">
      <c r="A122" s="1" t="s">
        <v>52</v>
      </c>
      <c r="B122" s="3">
        <v>45658</v>
      </c>
      <c r="C122" s="1" t="s">
        <v>20</v>
      </c>
      <c r="D122" s="1" t="s">
        <v>18</v>
      </c>
      <c r="E122" s="1">
        <v>43896.13</v>
      </c>
      <c r="F122" s="1">
        <v>3853</v>
      </c>
      <c r="G122" s="1">
        <v>8.7999999999999995E-2</v>
      </c>
      <c r="H122" s="1">
        <v>13</v>
      </c>
      <c r="I122" s="1">
        <v>83</v>
      </c>
      <c r="J122" s="1">
        <v>6.8</v>
      </c>
      <c r="K122" s="1">
        <v>0</v>
      </c>
      <c r="L122" s="1">
        <v>4.4000000000000004</v>
      </c>
      <c r="M122" s="1">
        <v>509484.81</v>
      </c>
      <c r="N122" s="1">
        <v>85742.36</v>
      </c>
      <c r="O122">
        <f t="shared" si="6"/>
        <v>0</v>
      </c>
      <c r="P122">
        <f t="shared" si="7"/>
        <v>1</v>
      </c>
      <c r="Q122">
        <f t="shared" si="8"/>
        <v>0</v>
      </c>
      <c r="R122">
        <f t="shared" si="9"/>
        <v>0</v>
      </c>
      <c r="S122">
        <f t="shared" si="10"/>
        <v>1</v>
      </c>
      <c r="T122">
        <f t="shared" si="11"/>
        <v>0</v>
      </c>
    </row>
    <row r="123" spans="1:20">
      <c r="A123" s="1" t="s">
        <v>52</v>
      </c>
      <c r="B123" s="3">
        <v>45689</v>
      </c>
      <c r="C123" s="1" t="s">
        <v>20</v>
      </c>
      <c r="D123" s="1" t="s">
        <v>18</v>
      </c>
      <c r="E123" s="1">
        <v>83044.17</v>
      </c>
      <c r="F123" s="1">
        <v>3694</v>
      </c>
      <c r="G123" s="1">
        <v>0</v>
      </c>
      <c r="H123" s="1">
        <v>14</v>
      </c>
      <c r="I123" s="1">
        <v>89.4</v>
      </c>
      <c r="J123" s="1">
        <v>2.2000000000000002</v>
      </c>
      <c r="K123" s="1">
        <v>0</v>
      </c>
      <c r="L123" s="1">
        <v>3.7</v>
      </c>
      <c r="M123" s="1">
        <v>654317.09</v>
      </c>
      <c r="N123" s="1">
        <v>121446.89</v>
      </c>
      <c r="O123">
        <f t="shared" si="6"/>
        <v>0</v>
      </c>
      <c r="P123">
        <f t="shared" si="7"/>
        <v>1</v>
      </c>
      <c r="Q123">
        <f t="shared" si="8"/>
        <v>0</v>
      </c>
      <c r="R123">
        <f t="shared" si="9"/>
        <v>0</v>
      </c>
      <c r="S123">
        <f t="shared" si="10"/>
        <v>1</v>
      </c>
      <c r="T123">
        <f t="shared" si="11"/>
        <v>0</v>
      </c>
    </row>
    <row r="124" spans="1:20">
      <c r="A124" s="1" t="s">
        <v>52</v>
      </c>
      <c r="B124" s="3">
        <v>45717</v>
      </c>
      <c r="C124" s="1" t="s">
        <v>20</v>
      </c>
      <c r="D124" s="1" t="s">
        <v>18</v>
      </c>
      <c r="E124" s="1">
        <v>48396.13</v>
      </c>
      <c r="F124" s="1">
        <v>4423</v>
      </c>
      <c r="G124" s="1">
        <v>6.9000000000000006E-2</v>
      </c>
      <c r="H124" s="1">
        <v>15</v>
      </c>
      <c r="I124" s="1">
        <v>85.7</v>
      </c>
      <c r="J124" s="1">
        <v>1.88</v>
      </c>
      <c r="K124" s="1">
        <v>0</v>
      </c>
      <c r="L124" s="1">
        <v>3.9</v>
      </c>
      <c r="M124" s="1">
        <v>557487.26</v>
      </c>
      <c r="N124" s="1">
        <v>76432.19</v>
      </c>
      <c r="O124">
        <f t="shared" si="6"/>
        <v>0</v>
      </c>
      <c r="P124">
        <f t="shared" si="7"/>
        <v>1</v>
      </c>
      <c r="Q124">
        <f t="shared" si="8"/>
        <v>0</v>
      </c>
      <c r="R124">
        <f t="shared" si="9"/>
        <v>0</v>
      </c>
      <c r="S124">
        <f t="shared" si="10"/>
        <v>1</v>
      </c>
      <c r="T124">
        <f t="shared" si="11"/>
        <v>0</v>
      </c>
    </row>
    <row r="125" spans="1:20">
      <c r="A125" s="1" t="s">
        <v>52</v>
      </c>
      <c r="B125" s="3">
        <v>45748</v>
      </c>
      <c r="C125" s="1" t="s">
        <v>20</v>
      </c>
      <c r="D125" s="1" t="s">
        <v>18</v>
      </c>
      <c r="E125" s="1">
        <v>19063.48</v>
      </c>
      <c r="F125" s="1">
        <v>1906</v>
      </c>
      <c r="G125" s="1">
        <v>0.216</v>
      </c>
      <c r="H125" s="1">
        <v>10</v>
      </c>
      <c r="I125" s="1">
        <v>97.8</v>
      </c>
      <c r="J125" s="1">
        <v>15.79</v>
      </c>
      <c r="K125" s="1">
        <v>0</v>
      </c>
      <c r="L125" s="1">
        <v>4.4000000000000004</v>
      </c>
      <c r="M125" s="1">
        <v>441275.42</v>
      </c>
      <c r="N125" s="1">
        <v>58234.87</v>
      </c>
      <c r="O125">
        <f t="shared" si="6"/>
        <v>0</v>
      </c>
      <c r="P125">
        <f t="shared" si="7"/>
        <v>1</v>
      </c>
      <c r="Q125">
        <f t="shared" si="8"/>
        <v>0</v>
      </c>
      <c r="R125">
        <f t="shared" si="9"/>
        <v>0</v>
      </c>
      <c r="S125">
        <f t="shared" si="10"/>
        <v>1</v>
      </c>
      <c r="T125">
        <f t="shared" si="11"/>
        <v>0</v>
      </c>
    </row>
    <row r="126" spans="1:20">
      <c r="A126" s="1" t="s">
        <v>53</v>
      </c>
      <c r="B126" s="3">
        <v>45658</v>
      </c>
      <c r="C126" s="1" t="s">
        <v>24</v>
      </c>
      <c r="D126" s="1" t="s">
        <v>18</v>
      </c>
      <c r="E126" s="1">
        <v>61541.21</v>
      </c>
      <c r="F126" s="1">
        <v>10396</v>
      </c>
      <c r="G126" s="1">
        <v>0.123</v>
      </c>
      <c r="H126" s="1">
        <v>25</v>
      </c>
      <c r="I126" s="1">
        <v>88.1</v>
      </c>
      <c r="J126" s="1">
        <v>2.34</v>
      </c>
      <c r="K126" s="1">
        <v>1</v>
      </c>
      <c r="L126" s="1">
        <v>4.8</v>
      </c>
      <c r="M126" s="1">
        <v>914544.17</v>
      </c>
      <c r="N126" s="1">
        <v>79831.73</v>
      </c>
      <c r="O126">
        <f t="shared" si="6"/>
        <v>0</v>
      </c>
      <c r="P126">
        <f t="shared" si="7"/>
        <v>0</v>
      </c>
      <c r="Q126">
        <f t="shared" si="8"/>
        <v>1</v>
      </c>
      <c r="R126">
        <f t="shared" si="9"/>
        <v>0</v>
      </c>
      <c r="S126">
        <f t="shared" si="10"/>
        <v>1</v>
      </c>
      <c r="T126">
        <f t="shared" si="11"/>
        <v>0</v>
      </c>
    </row>
    <row r="127" spans="1:20">
      <c r="A127" s="1" t="s">
        <v>53</v>
      </c>
      <c r="B127" s="3">
        <v>45689</v>
      </c>
      <c r="C127" s="1" t="s">
        <v>24</v>
      </c>
      <c r="D127" s="1" t="s">
        <v>18</v>
      </c>
      <c r="E127" s="1">
        <v>44747</v>
      </c>
      <c r="F127" s="1">
        <v>11076</v>
      </c>
      <c r="G127" s="1">
        <v>0.17599999999999999</v>
      </c>
      <c r="H127" s="1">
        <v>27</v>
      </c>
      <c r="I127" s="1">
        <v>98.3</v>
      </c>
      <c r="J127" s="1">
        <v>0.54</v>
      </c>
      <c r="K127" s="1">
        <v>0</v>
      </c>
      <c r="L127" s="1">
        <v>4.4000000000000004</v>
      </c>
      <c r="M127" s="1">
        <v>842439.67</v>
      </c>
      <c r="N127" s="1">
        <v>169983.63</v>
      </c>
      <c r="O127">
        <f t="shared" si="6"/>
        <v>0</v>
      </c>
      <c r="P127">
        <f t="shared" si="7"/>
        <v>0</v>
      </c>
      <c r="Q127">
        <f t="shared" si="8"/>
        <v>1</v>
      </c>
      <c r="R127">
        <f t="shared" si="9"/>
        <v>0</v>
      </c>
      <c r="S127">
        <f t="shared" si="10"/>
        <v>1</v>
      </c>
      <c r="T127">
        <f t="shared" si="11"/>
        <v>0</v>
      </c>
    </row>
    <row r="128" spans="1:20">
      <c r="A128" s="1" t="s">
        <v>53</v>
      </c>
      <c r="B128" s="3">
        <v>45717</v>
      </c>
      <c r="C128" s="1" t="s">
        <v>24</v>
      </c>
      <c r="D128" s="1" t="s">
        <v>18</v>
      </c>
      <c r="E128" s="1">
        <v>56517.9</v>
      </c>
      <c r="F128" s="1">
        <v>9574</v>
      </c>
      <c r="G128" s="1">
        <v>0.20399999999999999</v>
      </c>
      <c r="H128" s="1">
        <v>20</v>
      </c>
      <c r="I128" s="1">
        <v>88.2</v>
      </c>
      <c r="J128" s="1">
        <v>5.37</v>
      </c>
      <c r="K128" s="1">
        <v>1</v>
      </c>
      <c r="L128" s="1">
        <v>4.9000000000000004</v>
      </c>
      <c r="M128" s="1">
        <v>842157.92</v>
      </c>
      <c r="N128" s="1">
        <v>107348.22</v>
      </c>
      <c r="O128">
        <f t="shared" si="6"/>
        <v>0</v>
      </c>
      <c r="P128">
        <f t="shared" si="7"/>
        <v>0</v>
      </c>
      <c r="Q128">
        <f t="shared" si="8"/>
        <v>1</v>
      </c>
      <c r="R128">
        <f t="shared" si="9"/>
        <v>0</v>
      </c>
      <c r="S128">
        <f t="shared" si="10"/>
        <v>1</v>
      </c>
      <c r="T128">
        <f t="shared" si="11"/>
        <v>0</v>
      </c>
    </row>
    <row r="129" spans="1:20">
      <c r="A129" s="1" t="s">
        <v>53</v>
      </c>
      <c r="B129" s="3">
        <v>45748</v>
      </c>
      <c r="C129" s="1" t="s">
        <v>24</v>
      </c>
      <c r="D129" s="1" t="s">
        <v>18</v>
      </c>
      <c r="E129" s="1">
        <v>37828.5</v>
      </c>
      <c r="F129" s="1">
        <v>8221</v>
      </c>
      <c r="G129" s="1">
        <v>9.6000000000000002E-2</v>
      </c>
      <c r="H129" s="1">
        <v>19</v>
      </c>
      <c r="I129" s="1">
        <v>81.5</v>
      </c>
      <c r="J129" s="1">
        <v>3.19</v>
      </c>
      <c r="K129" s="1">
        <v>0</v>
      </c>
      <c r="L129" s="1">
        <v>4.8</v>
      </c>
      <c r="M129" s="1">
        <v>697155.3</v>
      </c>
      <c r="N129" s="1">
        <v>136408.54</v>
      </c>
      <c r="O129">
        <f t="shared" si="6"/>
        <v>0</v>
      </c>
      <c r="P129">
        <f t="shared" si="7"/>
        <v>0</v>
      </c>
      <c r="Q129">
        <f t="shared" si="8"/>
        <v>1</v>
      </c>
      <c r="R129">
        <f t="shared" si="9"/>
        <v>0</v>
      </c>
      <c r="S129">
        <f t="shared" si="10"/>
        <v>1</v>
      </c>
      <c r="T129">
        <f t="shared" si="11"/>
        <v>0</v>
      </c>
    </row>
    <row r="130" spans="1:20">
      <c r="A130" s="1" t="s">
        <v>54</v>
      </c>
      <c r="B130" s="3">
        <v>45658</v>
      </c>
      <c r="C130" s="1" t="s">
        <v>15</v>
      </c>
      <c r="D130" s="1" t="s">
        <v>18</v>
      </c>
      <c r="E130" s="1">
        <v>66250.53</v>
      </c>
      <c r="F130" s="1">
        <v>10618</v>
      </c>
      <c r="G130" s="1">
        <v>0.14199999999999999</v>
      </c>
      <c r="H130" s="1">
        <v>27</v>
      </c>
      <c r="I130" s="1">
        <v>88.3</v>
      </c>
      <c r="J130" s="1">
        <v>1.1000000000000001</v>
      </c>
      <c r="K130" s="1">
        <v>1</v>
      </c>
      <c r="L130" s="1">
        <v>4.4000000000000004</v>
      </c>
      <c r="M130" s="1">
        <v>849018.3</v>
      </c>
      <c r="N130" s="1">
        <v>149035.13</v>
      </c>
      <c r="O130">
        <f t="shared" si="6"/>
        <v>1</v>
      </c>
      <c r="P130">
        <f t="shared" si="7"/>
        <v>0</v>
      </c>
      <c r="Q130">
        <f t="shared" si="8"/>
        <v>0</v>
      </c>
      <c r="R130">
        <f t="shared" si="9"/>
        <v>0</v>
      </c>
      <c r="S130">
        <f t="shared" si="10"/>
        <v>1</v>
      </c>
      <c r="T130">
        <f t="shared" si="11"/>
        <v>0</v>
      </c>
    </row>
    <row r="131" spans="1:20">
      <c r="A131" s="1" t="s">
        <v>54</v>
      </c>
      <c r="B131" s="3">
        <v>45689</v>
      </c>
      <c r="C131" s="1" t="s">
        <v>15</v>
      </c>
      <c r="D131" s="1" t="s">
        <v>18</v>
      </c>
      <c r="E131" s="1">
        <v>68410.929999999993</v>
      </c>
      <c r="F131" s="1">
        <v>10596</v>
      </c>
      <c r="G131" s="1">
        <v>0.20699999999999999</v>
      </c>
      <c r="H131" s="1">
        <v>25</v>
      </c>
      <c r="I131" s="1">
        <v>81.2</v>
      </c>
      <c r="J131" s="1">
        <v>0.21</v>
      </c>
      <c r="K131" s="1">
        <v>0</v>
      </c>
      <c r="L131" s="1">
        <v>4</v>
      </c>
      <c r="M131" s="1">
        <v>801830.35</v>
      </c>
      <c r="N131" s="1">
        <v>114875.32</v>
      </c>
      <c r="O131">
        <f t="shared" ref="O131:O194" si="12">IF(C131="East",1,0)</f>
        <v>1</v>
      </c>
      <c r="P131">
        <f t="shared" ref="P131:P194" si="13">IF(C131="North",1,0)</f>
        <v>0</v>
      </c>
      <c r="Q131">
        <f t="shared" ref="Q131:Q194" si="14">IF(C131="South",1,0)</f>
        <v>0</v>
      </c>
      <c r="R131">
        <f t="shared" ref="R131:R194" si="15">IF(D131="Residential",1,0)</f>
        <v>0</v>
      </c>
      <c r="S131">
        <f t="shared" ref="S131:S194" si="16">IF(D131="High Street",1,0)</f>
        <v>1</v>
      </c>
      <c r="T131">
        <f t="shared" ref="T131:T194" si="17">IF(D131="Airport",1,0)</f>
        <v>0</v>
      </c>
    </row>
    <row r="132" spans="1:20">
      <c r="A132" s="1" t="s">
        <v>54</v>
      </c>
      <c r="B132" s="3">
        <v>45717</v>
      </c>
      <c r="C132" s="1" t="s">
        <v>15</v>
      </c>
      <c r="D132" s="1" t="s">
        <v>18</v>
      </c>
      <c r="E132" s="1">
        <v>50735.63</v>
      </c>
      <c r="F132" s="1">
        <v>9619</v>
      </c>
      <c r="G132" s="1">
        <v>0.14399999999999999</v>
      </c>
      <c r="H132" s="1">
        <v>19</v>
      </c>
      <c r="I132" s="1">
        <v>93.8</v>
      </c>
      <c r="J132" s="1">
        <v>5.12</v>
      </c>
      <c r="K132" s="1">
        <v>1</v>
      </c>
      <c r="L132" s="1">
        <v>4.5</v>
      </c>
      <c r="M132" s="1">
        <v>725235.28</v>
      </c>
      <c r="N132" s="1">
        <v>121632.24</v>
      </c>
      <c r="O132">
        <f t="shared" si="12"/>
        <v>1</v>
      </c>
      <c r="P132">
        <f t="shared" si="13"/>
        <v>0</v>
      </c>
      <c r="Q132">
        <f t="shared" si="14"/>
        <v>0</v>
      </c>
      <c r="R132">
        <f t="shared" si="15"/>
        <v>0</v>
      </c>
      <c r="S132">
        <f t="shared" si="16"/>
        <v>1</v>
      </c>
      <c r="T132">
        <f t="shared" si="17"/>
        <v>0</v>
      </c>
    </row>
    <row r="133" spans="1:20">
      <c r="A133" s="1" t="s">
        <v>54</v>
      </c>
      <c r="B133" s="3">
        <v>45748</v>
      </c>
      <c r="C133" s="1" t="s">
        <v>15</v>
      </c>
      <c r="D133" s="1" t="s">
        <v>18</v>
      </c>
      <c r="E133" s="1">
        <v>66455.8</v>
      </c>
      <c r="F133" s="1">
        <v>10836</v>
      </c>
      <c r="G133" s="1">
        <v>8.8999999999999996E-2</v>
      </c>
      <c r="H133" s="1">
        <v>25</v>
      </c>
      <c r="I133" s="1">
        <v>85</v>
      </c>
      <c r="J133" s="1">
        <v>9.77</v>
      </c>
      <c r="K133" s="1">
        <v>0</v>
      </c>
      <c r="L133" s="1">
        <v>4.5</v>
      </c>
      <c r="M133" s="1">
        <v>811452.72</v>
      </c>
      <c r="N133" s="1">
        <v>131325.67000000001</v>
      </c>
      <c r="O133">
        <f t="shared" si="12"/>
        <v>1</v>
      </c>
      <c r="P133">
        <f t="shared" si="13"/>
        <v>0</v>
      </c>
      <c r="Q133">
        <f t="shared" si="14"/>
        <v>0</v>
      </c>
      <c r="R133">
        <f t="shared" si="15"/>
        <v>0</v>
      </c>
      <c r="S133">
        <f t="shared" si="16"/>
        <v>1</v>
      </c>
      <c r="T133">
        <f t="shared" si="17"/>
        <v>0</v>
      </c>
    </row>
    <row r="134" spans="1:20">
      <c r="A134" s="1" t="s">
        <v>55</v>
      </c>
      <c r="B134" s="3">
        <v>45658</v>
      </c>
      <c r="C134" s="1" t="s">
        <v>20</v>
      </c>
      <c r="D134" s="1" t="s">
        <v>18</v>
      </c>
      <c r="E134" s="1">
        <v>70276.28</v>
      </c>
      <c r="F134" s="1">
        <v>3043</v>
      </c>
      <c r="G134" s="1">
        <v>7.9000000000000001E-2</v>
      </c>
      <c r="H134" s="1">
        <v>9</v>
      </c>
      <c r="I134" s="1">
        <v>87.9</v>
      </c>
      <c r="J134" s="1">
        <v>3.77</v>
      </c>
      <c r="K134" s="1">
        <v>0</v>
      </c>
      <c r="L134" s="1">
        <v>4.4000000000000004</v>
      </c>
      <c r="M134" s="1">
        <v>527300.13</v>
      </c>
      <c r="N134" s="1">
        <v>84197.87</v>
      </c>
      <c r="O134">
        <f t="shared" si="12"/>
        <v>0</v>
      </c>
      <c r="P134">
        <f t="shared" si="13"/>
        <v>1</v>
      </c>
      <c r="Q134">
        <f t="shared" si="14"/>
        <v>0</v>
      </c>
      <c r="R134">
        <f t="shared" si="15"/>
        <v>0</v>
      </c>
      <c r="S134">
        <f t="shared" si="16"/>
        <v>1</v>
      </c>
      <c r="T134">
        <f t="shared" si="17"/>
        <v>0</v>
      </c>
    </row>
    <row r="135" spans="1:20">
      <c r="A135" s="1" t="s">
        <v>55</v>
      </c>
      <c r="B135" s="3">
        <v>45689</v>
      </c>
      <c r="C135" s="1" t="s">
        <v>20</v>
      </c>
      <c r="D135" s="1" t="s">
        <v>18</v>
      </c>
      <c r="E135" s="1">
        <v>22071.64</v>
      </c>
      <c r="F135" s="1">
        <v>1814</v>
      </c>
      <c r="G135" s="1">
        <v>0.19600000000000001</v>
      </c>
      <c r="H135" s="1">
        <v>8</v>
      </c>
      <c r="I135" s="1">
        <v>81.099999999999994</v>
      </c>
      <c r="J135" s="1">
        <v>0.78</v>
      </c>
      <c r="K135" s="1">
        <v>0</v>
      </c>
      <c r="L135" s="1"/>
      <c r="M135" s="1">
        <v>400831.65</v>
      </c>
      <c r="N135" s="1">
        <v>70979.31</v>
      </c>
      <c r="O135">
        <f t="shared" si="12"/>
        <v>0</v>
      </c>
      <c r="P135">
        <f t="shared" si="13"/>
        <v>1</v>
      </c>
      <c r="Q135">
        <f t="shared" si="14"/>
        <v>0</v>
      </c>
      <c r="R135">
        <f t="shared" si="15"/>
        <v>0</v>
      </c>
      <c r="S135">
        <f t="shared" si="16"/>
        <v>1</v>
      </c>
      <c r="T135">
        <f t="shared" si="17"/>
        <v>0</v>
      </c>
    </row>
    <row r="136" spans="1:20">
      <c r="A136" s="1" t="s">
        <v>55</v>
      </c>
      <c r="B136" s="3">
        <v>45717</v>
      </c>
      <c r="C136" s="1" t="s">
        <v>20</v>
      </c>
      <c r="D136" s="1" t="s">
        <v>18</v>
      </c>
      <c r="E136" s="1">
        <v>52285.45</v>
      </c>
      <c r="F136" s="1">
        <v>3618</v>
      </c>
      <c r="G136" s="1">
        <v>8.5999999999999993E-2</v>
      </c>
      <c r="H136" s="1">
        <v>11</v>
      </c>
      <c r="I136" s="1">
        <v>95.6</v>
      </c>
      <c r="J136" s="1">
        <v>5.17</v>
      </c>
      <c r="K136" s="1">
        <v>1</v>
      </c>
      <c r="L136" s="1">
        <v>4.4000000000000004</v>
      </c>
      <c r="M136" s="1">
        <v>593247.25</v>
      </c>
      <c r="N136" s="1">
        <v>81240.289999999994</v>
      </c>
      <c r="O136">
        <f t="shared" si="12"/>
        <v>0</v>
      </c>
      <c r="P136">
        <f t="shared" si="13"/>
        <v>1</v>
      </c>
      <c r="Q136">
        <f t="shared" si="14"/>
        <v>0</v>
      </c>
      <c r="R136">
        <f t="shared" si="15"/>
        <v>0</v>
      </c>
      <c r="S136">
        <f t="shared" si="16"/>
        <v>1</v>
      </c>
      <c r="T136">
        <f t="shared" si="17"/>
        <v>0</v>
      </c>
    </row>
    <row r="137" spans="1:20">
      <c r="A137" s="1" t="s">
        <v>55</v>
      </c>
      <c r="B137" s="3">
        <v>45748</v>
      </c>
      <c r="C137" s="1" t="s">
        <v>20</v>
      </c>
      <c r="D137" s="1" t="s">
        <v>18</v>
      </c>
      <c r="E137" s="1">
        <v>70366.759999999995</v>
      </c>
      <c r="F137" s="1">
        <v>1963</v>
      </c>
      <c r="G137" s="1">
        <v>0.182</v>
      </c>
      <c r="H137" s="1">
        <v>8</v>
      </c>
      <c r="I137" s="1">
        <v>89.8</v>
      </c>
      <c r="J137" s="1">
        <v>3.2</v>
      </c>
      <c r="K137" s="1">
        <v>0</v>
      </c>
      <c r="L137" s="1">
        <v>4.5999999999999996</v>
      </c>
      <c r="M137" s="1">
        <v>529075.94999999995</v>
      </c>
      <c r="N137" s="1">
        <v>95978.83</v>
      </c>
      <c r="O137">
        <f t="shared" si="12"/>
        <v>0</v>
      </c>
      <c r="P137">
        <f t="shared" si="13"/>
        <v>1</v>
      </c>
      <c r="Q137">
        <f t="shared" si="14"/>
        <v>0</v>
      </c>
      <c r="R137">
        <f t="shared" si="15"/>
        <v>0</v>
      </c>
      <c r="S137">
        <f t="shared" si="16"/>
        <v>1</v>
      </c>
      <c r="T137">
        <f t="shared" si="17"/>
        <v>0</v>
      </c>
    </row>
    <row r="138" spans="1:20">
      <c r="A138" s="1" t="s">
        <v>56</v>
      </c>
      <c r="B138" s="3">
        <v>45658</v>
      </c>
      <c r="C138" s="1" t="s">
        <v>24</v>
      </c>
      <c r="D138" s="1" t="s">
        <v>16</v>
      </c>
      <c r="E138" s="1">
        <v>71320.66</v>
      </c>
      <c r="F138" s="1">
        <v>7888</v>
      </c>
      <c r="G138" s="1">
        <v>4.8000000000000001E-2</v>
      </c>
      <c r="H138" s="1">
        <v>20</v>
      </c>
      <c r="I138" s="1">
        <v>78.099999999999994</v>
      </c>
      <c r="J138" s="1">
        <v>3.4</v>
      </c>
      <c r="K138" s="1">
        <v>0</v>
      </c>
      <c r="L138" s="1"/>
      <c r="M138" s="1">
        <v>633638.03</v>
      </c>
      <c r="N138" s="1">
        <v>99402.01</v>
      </c>
      <c r="O138">
        <f t="shared" si="12"/>
        <v>0</v>
      </c>
      <c r="P138">
        <f t="shared" si="13"/>
        <v>0</v>
      </c>
      <c r="Q138">
        <f t="shared" si="14"/>
        <v>1</v>
      </c>
      <c r="R138">
        <f t="shared" si="15"/>
        <v>1</v>
      </c>
      <c r="S138">
        <f t="shared" si="16"/>
        <v>0</v>
      </c>
      <c r="T138">
        <f t="shared" si="17"/>
        <v>0</v>
      </c>
    </row>
    <row r="139" spans="1:20">
      <c r="A139" s="1" t="s">
        <v>56</v>
      </c>
      <c r="B139" s="3">
        <v>45689</v>
      </c>
      <c r="C139" s="1" t="s">
        <v>24</v>
      </c>
      <c r="D139" s="1" t="s">
        <v>16</v>
      </c>
      <c r="E139" s="1">
        <v>75109.67</v>
      </c>
      <c r="F139" s="1">
        <v>6244</v>
      </c>
      <c r="G139" s="1">
        <v>7.9000000000000001E-2</v>
      </c>
      <c r="H139" s="1">
        <v>15</v>
      </c>
      <c r="I139" s="1">
        <v>96.3</v>
      </c>
      <c r="J139" s="1">
        <v>7.38</v>
      </c>
      <c r="K139" s="1">
        <v>0</v>
      </c>
      <c r="L139" s="1">
        <v>3.7</v>
      </c>
      <c r="M139" s="1">
        <v>743348.84</v>
      </c>
      <c r="N139" s="1">
        <v>104186.09</v>
      </c>
      <c r="O139">
        <f t="shared" si="12"/>
        <v>0</v>
      </c>
      <c r="P139">
        <f t="shared" si="13"/>
        <v>0</v>
      </c>
      <c r="Q139">
        <f t="shared" si="14"/>
        <v>1</v>
      </c>
      <c r="R139">
        <f t="shared" si="15"/>
        <v>1</v>
      </c>
      <c r="S139">
        <f t="shared" si="16"/>
        <v>0</v>
      </c>
      <c r="T139">
        <f t="shared" si="17"/>
        <v>0</v>
      </c>
    </row>
    <row r="140" spans="1:20">
      <c r="A140" s="1" t="s">
        <v>56</v>
      </c>
      <c r="B140" s="3">
        <v>45717</v>
      </c>
      <c r="C140" s="1" t="s">
        <v>24</v>
      </c>
      <c r="D140" s="1" t="s">
        <v>16</v>
      </c>
      <c r="E140" s="1">
        <v>69779</v>
      </c>
      <c r="F140" s="1">
        <v>6544</v>
      </c>
      <c r="G140" s="1">
        <v>0.152</v>
      </c>
      <c r="H140" s="1">
        <v>18</v>
      </c>
      <c r="I140" s="1">
        <v>90.2</v>
      </c>
      <c r="J140" s="1">
        <v>0.85</v>
      </c>
      <c r="K140" s="1">
        <v>1</v>
      </c>
      <c r="L140" s="1">
        <v>3.3</v>
      </c>
      <c r="M140" s="1">
        <v>758827.64</v>
      </c>
      <c r="N140" s="1">
        <v>161439.48000000001</v>
      </c>
      <c r="O140">
        <f t="shared" si="12"/>
        <v>0</v>
      </c>
      <c r="P140">
        <f t="shared" si="13"/>
        <v>0</v>
      </c>
      <c r="Q140">
        <f t="shared" si="14"/>
        <v>1</v>
      </c>
      <c r="R140">
        <f t="shared" si="15"/>
        <v>1</v>
      </c>
      <c r="S140">
        <f t="shared" si="16"/>
        <v>0</v>
      </c>
      <c r="T140">
        <f t="shared" si="17"/>
        <v>0</v>
      </c>
    </row>
    <row r="141" spans="1:20">
      <c r="A141" s="1" t="s">
        <v>56</v>
      </c>
      <c r="B141" s="3">
        <v>45748</v>
      </c>
      <c r="C141" s="1" t="s">
        <v>24</v>
      </c>
      <c r="D141" s="1" t="s">
        <v>16</v>
      </c>
      <c r="E141" s="1">
        <v>44211.95</v>
      </c>
      <c r="F141" s="1">
        <v>5465</v>
      </c>
      <c r="G141" s="1">
        <v>0.187</v>
      </c>
      <c r="H141" s="1">
        <v>12</v>
      </c>
      <c r="I141" s="1">
        <v>90</v>
      </c>
      <c r="J141" s="1">
        <v>2.89</v>
      </c>
      <c r="K141" s="1">
        <v>0</v>
      </c>
      <c r="L141" s="1">
        <v>3.6</v>
      </c>
      <c r="M141" s="1">
        <v>646559.71</v>
      </c>
      <c r="N141" s="1">
        <v>97981.75</v>
      </c>
      <c r="O141">
        <f t="shared" si="12"/>
        <v>0</v>
      </c>
      <c r="P141">
        <f t="shared" si="13"/>
        <v>0</v>
      </c>
      <c r="Q141">
        <f t="shared" si="14"/>
        <v>1</v>
      </c>
      <c r="R141">
        <f t="shared" si="15"/>
        <v>1</v>
      </c>
      <c r="S141">
        <f t="shared" si="16"/>
        <v>0</v>
      </c>
      <c r="T141">
        <f t="shared" si="17"/>
        <v>0</v>
      </c>
    </row>
    <row r="142" spans="1:20">
      <c r="A142" s="1" t="s">
        <v>57</v>
      </c>
      <c r="B142" s="3">
        <v>45658</v>
      </c>
      <c r="C142" s="1" t="s">
        <v>27</v>
      </c>
      <c r="D142" s="1" t="s">
        <v>18</v>
      </c>
      <c r="E142" s="1">
        <v>51430.31</v>
      </c>
      <c r="F142" s="1">
        <v>6427</v>
      </c>
      <c r="G142" s="1">
        <v>0.23400000000000001</v>
      </c>
      <c r="H142" s="1">
        <v>14</v>
      </c>
      <c r="I142" s="1">
        <v>88.8</v>
      </c>
      <c r="J142" s="1">
        <v>0.77</v>
      </c>
      <c r="K142" s="1">
        <v>0</v>
      </c>
      <c r="L142" s="1">
        <v>4.0999999999999996</v>
      </c>
      <c r="M142" s="1">
        <v>715890.53</v>
      </c>
      <c r="N142" s="1">
        <v>109032.15</v>
      </c>
      <c r="O142">
        <f t="shared" si="12"/>
        <v>0</v>
      </c>
      <c r="P142">
        <f t="shared" si="13"/>
        <v>0</v>
      </c>
      <c r="Q142">
        <f t="shared" si="14"/>
        <v>0</v>
      </c>
      <c r="R142">
        <f t="shared" si="15"/>
        <v>0</v>
      </c>
      <c r="S142">
        <f t="shared" si="16"/>
        <v>1</v>
      </c>
      <c r="T142">
        <f t="shared" si="17"/>
        <v>0</v>
      </c>
    </row>
    <row r="143" spans="1:20">
      <c r="A143" s="1" t="s">
        <v>57</v>
      </c>
      <c r="B143" s="3">
        <v>45689</v>
      </c>
      <c r="C143" s="1" t="s">
        <v>27</v>
      </c>
      <c r="D143" s="1" t="s">
        <v>18</v>
      </c>
      <c r="E143" s="1">
        <v>45706.49</v>
      </c>
      <c r="F143" s="1">
        <v>6704</v>
      </c>
      <c r="G143" s="1">
        <v>3.7999999999999999E-2</v>
      </c>
      <c r="H143" s="1">
        <v>15</v>
      </c>
      <c r="I143" s="1">
        <v>94.2</v>
      </c>
      <c r="J143" s="1">
        <v>2.92</v>
      </c>
      <c r="K143" s="1">
        <v>0</v>
      </c>
      <c r="L143" s="1">
        <v>4.2</v>
      </c>
      <c r="M143" s="1">
        <v>715097.57</v>
      </c>
      <c r="N143" s="1">
        <v>151875.85999999999</v>
      </c>
      <c r="O143">
        <f t="shared" si="12"/>
        <v>0</v>
      </c>
      <c r="P143">
        <f t="shared" si="13"/>
        <v>0</v>
      </c>
      <c r="Q143">
        <f t="shared" si="14"/>
        <v>0</v>
      </c>
      <c r="R143">
        <f t="shared" si="15"/>
        <v>0</v>
      </c>
      <c r="S143">
        <f t="shared" si="16"/>
        <v>1</v>
      </c>
      <c r="T143">
        <f t="shared" si="17"/>
        <v>0</v>
      </c>
    </row>
    <row r="144" spans="1:20">
      <c r="A144" s="1" t="s">
        <v>57</v>
      </c>
      <c r="B144" s="3">
        <v>45717</v>
      </c>
      <c r="C144" s="1" t="s">
        <v>27</v>
      </c>
      <c r="D144" s="1" t="s">
        <v>18</v>
      </c>
      <c r="E144" s="1">
        <v>44034.6</v>
      </c>
      <c r="F144" s="1">
        <v>5645</v>
      </c>
      <c r="G144" s="1">
        <v>6.9000000000000006E-2</v>
      </c>
      <c r="H144" s="1">
        <v>18</v>
      </c>
      <c r="I144" s="1">
        <v>88.5</v>
      </c>
      <c r="J144" s="1">
        <v>3.07</v>
      </c>
      <c r="K144" s="1">
        <v>0</v>
      </c>
      <c r="L144" s="1">
        <v>3.8</v>
      </c>
      <c r="M144" s="1">
        <v>682639.28</v>
      </c>
      <c r="N144" s="1">
        <v>77557.53</v>
      </c>
      <c r="O144">
        <f t="shared" si="12"/>
        <v>0</v>
      </c>
      <c r="P144">
        <f t="shared" si="13"/>
        <v>0</v>
      </c>
      <c r="Q144">
        <f t="shared" si="14"/>
        <v>0</v>
      </c>
      <c r="R144">
        <f t="shared" si="15"/>
        <v>0</v>
      </c>
      <c r="S144">
        <f t="shared" si="16"/>
        <v>1</v>
      </c>
      <c r="T144">
        <f t="shared" si="17"/>
        <v>0</v>
      </c>
    </row>
    <row r="145" spans="1:20">
      <c r="A145" s="1" t="s">
        <v>57</v>
      </c>
      <c r="B145" s="3">
        <v>45748</v>
      </c>
      <c r="C145" s="1" t="s">
        <v>27</v>
      </c>
      <c r="D145" s="1" t="s">
        <v>18</v>
      </c>
      <c r="E145" s="1">
        <v>50198.12</v>
      </c>
      <c r="F145" s="1">
        <v>6089</v>
      </c>
      <c r="G145" s="1">
        <v>0.182</v>
      </c>
      <c r="H145" s="1">
        <v>19</v>
      </c>
      <c r="I145" s="1">
        <v>94</v>
      </c>
      <c r="J145" s="1">
        <v>9.6999999999999993</v>
      </c>
      <c r="K145" s="1">
        <v>0</v>
      </c>
      <c r="L145" s="1">
        <v>3.9</v>
      </c>
      <c r="M145" s="1">
        <v>695098.51</v>
      </c>
      <c r="N145" s="1">
        <v>108192.75</v>
      </c>
      <c r="O145">
        <f t="shared" si="12"/>
        <v>0</v>
      </c>
      <c r="P145">
        <f t="shared" si="13"/>
        <v>0</v>
      </c>
      <c r="Q145">
        <f t="shared" si="14"/>
        <v>0</v>
      </c>
      <c r="R145">
        <f t="shared" si="15"/>
        <v>0</v>
      </c>
      <c r="S145">
        <f t="shared" si="16"/>
        <v>1</v>
      </c>
      <c r="T145">
        <f t="shared" si="17"/>
        <v>0</v>
      </c>
    </row>
    <row r="146" spans="1:20">
      <c r="A146" s="1" t="s">
        <v>58</v>
      </c>
      <c r="B146" s="3">
        <v>45658</v>
      </c>
      <c r="C146" s="1" t="s">
        <v>20</v>
      </c>
      <c r="D146" s="1" t="s">
        <v>16</v>
      </c>
      <c r="E146" s="1">
        <v>70488.2</v>
      </c>
      <c r="F146" s="1">
        <v>4312</v>
      </c>
      <c r="G146" s="1">
        <v>0.16900000000000001</v>
      </c>
      <c r="H146" s="1">
        <v>12</v>
      </c>
      <c r="I146" s="1">
        <v>90.2</v>
      </c>
      <c r="J146" s="1">
        <v>3.71</v>
      </c>
      <c r="K146" s="1">
        <v>0</v>
      </c>
      <c r="L146" s="1">
        <v>3.2</v>
      </c>
      <c r="M146" s="1">
        <v>577732.56999999995</v>
      </c>
      <c r="N146" s="1">
        <v>93804.27</v>
      </c>
      <c r="O146">
        <f t="shared" si="12"/>
        <v>0</v>
      </c>
      <c r="P146">
        <f t="shared" si="13"/>
        <v>1</v>
      </c>
      <c r="Q146">
        <f t="shared" si="14"/>
        <v>0</v>
      </c>
      <c r="R146">
        <f t="shared" si="15"/>
        <v>1</v>
      </c>
      <c r="S146">
        <f t="shared" si="16"/>
        <v>0</v>
      </c>
      <c r="T146">
        <f t="shared" si="17"/>
        <v>0</v>
      </c>
    </row>
    <row r="147" spans="1:20">
      <c r="A147" s="1" t="s">
        <v>58</v>
      </c>
      <c r="B147" s="3">
        <v>45689</v>
      </c>
      <c r="C147" s="1" t="s">
        <v>20</v>
      </c>
      <c r="D147" s="1" t="s">
        <v>16</v>
      </c>
      <c r="E147" s="1">
        <v>50909.27</v>
      </c>
      <c r="F147" s="1">
        <v>3152</v>
      </c>
      <c r="G147" s="1">
        <v>0.06</v>
      </c>
      <c r="H147" s="1">
        <v>13</v>
      </c>
      <c r="I147" s="1">
        <v>93.7</v>
      </c>
      <c r="J147" s="1">
        <v>10.79</v>
      </c>
      <c r="K147" s="1">
        <v>0</v>
      </c>
      <c r="L147" s="1">
        <v>3.5</v>
      </c>
      <c r="M147" s="1">
        <v>537058.32999999996</v>
      </c>
      <c r="N147" s="1">
        <v>93555.71</v>
      </c>
      <c r="O147">
        <f t="shared" si="12"/>
        <v>0</v>
      </c>
      <c r="P147">
        <f t="shared" si="13"/>
        <v>1</v>
      </c>
      <c r="Q147">
        <f t="shared" si="14"/>
        <v>0</v>
      </c>
      <c r="R147">
        <f t="shared" si="15"/>
        <v>1</v>
      </c>
      <c r="S147">
        <f t="shared" si="16"/>
        <v>0</v>
      </c>
      <c r="T147">
        <f t="shared" si="17"/>
        <v>0</v>
      </c>
    </row>
    <row r="148" spans="1:20">
      <c r="A148" s="1" t="s">
        <v>58</v>
      </c>
      <c r="B148" s="3">
        <v>45717</v>
      </c>
      <c r="C148" s="1" t="s">
        <v>20</v>
      </c>
      <c r="D148" s="1" t="s">
        <v>16</v>
      </c>
      <c r="E148" s="1">
        <v>53351.7</v>
      </c>
      <c r="F148" s="1">
        <v>4259</v>
      </c>
      <c r="G148" s="1">
        <v>0.156</v>
      </c>
      <c r="H148" s="1">
        <v>15</v>
      </c>
      <c r="I148" s="1">
        <v>93.7</v>
      </c>
      <c r="J148" s="1">
        <v>6.03</v>
      </c>
      <c r="K148" s="1">
        <v>0</v>
      </c>
      <c r="L148" s="1">
        <v>3.4</v>
      </c>
      <c r="M148" s="1">
        <v>601568.87</v>
      </c>
      <c r="N148" s="1">
        <v>91634.82</v>
      </c>
      <c r="O148">
        <f t="shared" si="12"/>
        <v>0</v>
      </c>
      <c r="P148">
        <f t="shared" si="13"/>
        <v>1</v>
      </c>
      <c r="Q148">
        <f t="shared" si="14"/>
        <v>0</v>
      </c>
      <c r="R148">
        <f t="shared" si="15"/>
        <v>1</v>
      </c>
      <c r="S148">
        <f t="shared" si="16"/>
        <v>0</v>
      </c>
      <c r="T148">
        <f t="shared" si="17"/>
        <v>0</v>
      </c>
    </row>
    <row r="149" spans="1:20">
      <c r="A149" s="1" t="s">
        <v>58</v>
      </c>
      <c r="B149" s="3">
        <v>45748</v>
      </c>
      <c r="C149" s="1" t="s">
        <v>20</v>
      </c>
      <c r="D149" s="1" t="s">
        <v>16</v>
      </c>
      <c r="E149" s="1">
        <v>60322.400000000001</v>
      </c>
      <c r="F149" s="1">
        <v>3350</v>
      </c>
      <c r="G149" s="1">
        <v>0.108</v>
      </c>
      <c r="H149" s="1">
        <v>12</v>
      </c>
      <c r="I149" s="1">
        <v>89.4</v>
      </c>
      <c r="J149" s="1">
        <v>4.92</v>
      </c>
      <c r="K149" s="1">
        <v>0</v>
      </c>
      <c r="L149" s="1">
        <v>3.4</v>
      </c>
      <c r="M149" s="1">
        <v>570964.84</v>
      </c>
      <c r="N149" s="1">
        <v>81331.070000000007</v>
      </c>
      <c r="O149">
        <f t="shared" si="12"/>
        <v>0</v>
      </c>
      <c r="P149">
        <f t="shared" si="13"/>
        <v>1</v>
      </c>
      <c r="Q149">
        <f t="shared" si="14"/>
        <v>0</v>
      </c>
      <c r="R149">
        <f t="shared" si="15"/>
        <v>1</v>
      </c>
      <c r="S149">
        <f t="shared" si="16"/>
        <v>0</v>
      </c>
      <c r="T149">
        <f t="shared" si="17"/>
        <v>0</v>
      </c>
    </row>
    <row r="150" spans="1:20">
      <c r="A150" s="1" t="s">
        <v>59</v>
      </c>
      <c r="B150" s="3">
        <v>45658</v>
      </c>
      <c r="C150" s="1" t="s">
        <v>24</v>
      </c>
      <c r="D150" s="1" t="s">
        <v>28</v>
      </c>
      <c r="E150" s="1">
        <v>51575.68</v>
      </c>
      <c r="F150" s="1">
        <v>5329</v>
      </c>
      <c r="G150" s="1">
        <v>4.7E-2</v>
      </c>
      <c r="H150" s="1">
        <v>17</v>
      </c>
      <c r="I150" s="1">
        <v>88.1</v>
      </c>
      <c r="J150" s="1">
        <v>19.78</v>
      </c>
      <c r="K150" s="1">
        <v>0</v>
      </c>
      <c r="L150" s="1">
        <v>3.8</v>
      </c>
      <c r="M150" s="1">
        <v>614024.91</v>
      </c>
      <c r="N150" s="1">
        <v>84828.93</v>
      </c>
      <c r="O150">
        <f t="shared" si="12"/>
        <v>0</v>
      </c>
      <c r="P150">
        <f t="shared" si="13"/>
        <v>0</v>
      </c>
      <c r="Q150">
        <f t="shared" si="14"/>
        <v>1</v>
      </c>
      <c r="R150">
        <f t="shared" si="15"/>
        <v>0</v>
      </c>
      <c r="S150">
        <f t="shared" si="16"/>
        <v>0</v>
      </c>
      <c r="T150">
        <f t="shared" si="17"/>
        <v>0</v>
      </c>
    </row>
    <row r="151" spans="1:20">
      <c r="A151" s="1" t="s">
        <v>59</v>
      </c>
      <c r="B151" s="3">
        <v>45689</v>
      </c>
      <c r="C151" s="1" t="s">
        <v>24</v>
      </c>
      <c r="D151" s="1" t="s">
        <v>28</v>
      </c>
      <c r="E151" s="1">
        <v>43319.94</v>
      </c>
      <c r="F151" s="1">
        <v>6551</v>
      </c>
      <c r="G151" s="1">
        <v>4.3999999999999997E-2</v>
      </c>
      <c r="H151" s="1">
        <v>13</v>
      </c>
      <c r="I151" s="1">
        <v>99</v>
      </c>
      <c r="J151" s="1">
        <v>5.45</v>
      </c>
      <c r="K151" s="1">
        <v>0</v>
      </c>
      <c r="L151" s="1">
        <v>4.0999999999999996</v>
      </c>
      <c r="M151" s="1">
        <v>712868.35</v>
      </c>
      <c r="N151" s="1">
        <v>133650.51</v>
      </c>
      <c r="O151">
        <f t="shared" si="12"/>
        <v>0</v>
      </c>
      <c r="P151">
        <f t="shared" si="13"/>
        <v>0</v>
      </c>
      <c r="Q151">
        <f t="shared" si="14"/>
        <v>1</v>
      </c>
      <c r="R151">
        <f t="shared" si="15"/>
        <v>0</v>
      </c>
      <c r="S151">
        <f t="shared" si="16"/>
        <v>0</v>
      </c>
      <c r="T151">
        <f t="shared" si="17"/>
        <v>0</v>
      </c>
    </row>
    <row r="152" spans="1:20">
      <c r="A152" s="1" t="s">
        <v>59</v>
      </c>
      <c r="B152" s="3">
        <v>45717</v>
      </c>
      <c r="C152" s="1" t="s">
        <v>24</v>
      </c>
      <c r="D152" s="1" t="s">
        <v>28</v>
      </c>
      <c r="E152" s="1">
        <v>47093.55</v>
      </c>
      <c r="F152" s="1">
        <v>5550</v>
      </c>
      <c r="G152" s="1">
        <v>0.1</v>
      </c>
      <c r="H152" s="1">
        <v>12</v>
      </c>
      <c r="I152" s="1">
        <v>95</v>
      </c>
      <c r="J152" s="1">
        <v>2.33</v>
      </c>
      <c r="K152" s="1">
        <v>1</v>
      </c>
      <c r="L152" s="1">
        <v>3.7</v>
      </c>
      <c r="M152" s="1">
        <v>696744.15</v>
      </c>
      <c r="N152" s="1">
        <v>152230.09</v>
      </c>
      <c r="O152">
        <f t="shared" si="12"/>
        <v>0</v>
      </c>
      <c r="P152">
        <f t="shared" si="13"/>
        <v>0</v>
      </c>
      <c r="Q152">
        <f t="shared" si="14"/>
        <v>1</v>
      </c>
      <c r="R152">
        <f t="shared" si="15"/>
        <v>0</v>
      </c>
      <c r="S152">
        <f t="shared" si="16"/>
        <v>0</v>
      </c>
      <c r="T152">
        <f t="shared" si="17"/>
        <v>0</v>
      </c>
    </row>
    <row r="153" spans="1:20">
      <c r="A153" s="1" t="s">
        <v>59</v>
      </c>
      <c r="B153" s="3">
        <v>45748</v>
      </c>
      <c r="C153" s="1" t="s">
        <v>24</v>
      </c>
      <c r="D153" s="1" t="s">
        <v>28</v>
      </c>
      <c r="E153" s="1">
        <v>71855.09</v>
      </c>
      <c r="F153" s="1">
        <v>5911</v>
      </c>
      <c r="G153" s="1">
        <v>0.19700000000000001</v>
      </c>
      <c r="H153" s="1">
        <v>15</v>
      </c>
      <c r="I153" s="1">
        <v>94.3</v>
      </c>
      <c r="J153" s="1">
        <v>3.55</v>
      </c>
      <c r="K153" s="1">
        <v>0</v>
      </c>
      <c r="L153" s="1">
        <v>4.0999999999999996</v>
      </c>
      <c r="M153" s="1">
        <v>725847.99</v>
      </c>
      <c r="N153" s="1">
        <v>122698.73</v>
      </c>
      <c r="O153">
        <f t="shared" si="12"/>
        <v>0</v>
      </c>
      <c r="P153">
        <f t="shared" si="13"/>
        <v>0</v>
      </c>
      <c r="Q153">
        <f t="shared" si="14"/>
        <v>1</v>
      </c>
      <c r="R153">
        <f t="shared" si="15"/>
        <v>0</v>
      </c>
      <c r="S153">
        <f t="shared" si="16"/>
        <v>0</v>
      </c>
      <c r="T153">
        <f t="shared" si="17"/>
        <v>0</v>
      </c>
    </row>
    <row r="154" spans="1:20">
      <c r="A154" s="1" t="s">
        <v>60</v>
      </c>
      <c r="B154" s="3">
        <v>45658</v>
      </c>
      <c r="C154" s="1" t="s">
        <v>15</v>
      </c>
      <c r="D154" s="1" t="s">
        <v>18</v>
      </c>
      <c r="E154" s="1">
        <v>75645.23</v>
      </c>
      <c r="F154" s="1">
        <v>9674</v>
      </c>
      <c r="G154" s="1">
        <v>0.23400000000000001</v>
      </c>
      <c r="H154" s="1">
        <v>21</v>
      </c>
      <c r="I154" s="1">
        <v>87.4</v>
      </c>
      <c r="J154" s="1">
        <v>0.2</v>
      </c>
      <c r="K154" s="1">
        <v>0</v>
      </c>
      <c r="L154" s="1">
        <v>4.5</v>
      </c>
      <c r="M154" s="1">
        <v>785028.25</v>
      </c>
      <c r="N154" s="1">
        <v>110726.44</v>
      </c>
      <c r="O154">
        <f t="shared" si="12"/>
        <v>1</v>
      </c>
      <c r="P154">
        <f t="shared" si="13"/>
        <v>0</v>
      </c>
      <c r="Q154">
        <f t="shared" si="14"/>
        <v>0</v>
      </c>
      <c r="R154">
        <f t="shared" si="15"/>
        <v>0</v>
      </c>
      <c r="S154">
        <f t="shared" si="16"/>
        <v>1</v>
      </c>
      <c r="T154">
        <f t="shared" si="17"/>
        <v>0</v>
      </c>
    </row>
    <row r="155" spans="1:20">
      <c r="A155" s="1" t="s">
        <v>60</v>
      </c>
      <c r="B155" s="3">
        <v>45689</v>
      </c>
      <c r="C155" s="1" t="s">
        <v>15</v>
      </c>
      <c r="D155" s="1" t="s">
        <v>18</v>
      </c>
      <c r="E155" s="1">
        <v>64374.75</v>
      </c>
      <c r="F155" s="1">
        <v>6740</v>
      </c>
      <c r="G155" s="1">
        <v>0.16900000000000001</v>
      </c>
      <c r="H155" s="1">
        <v>18</v>
      </c>
      <c r="I155" s="1">
        <v>87</v>
      </c>
      <c r="J155" s="1">
        <v>2.09</v>
      </c>
      <c r="K155" s="1">
        <v>0</v>
      </c>
      <c r="L155" s="1">
        <v>4.2</v>
      </c>
      <c r="M155" s="1">
        <v>698492.67</v>
      </c>
      <c r="N155" s="1">
        <v>117319.32</v>
      </c>
      <c r="O155">
        <f t="shared" si="12"/>
        <v>1</v>
      </c>
      <c r="P155">
        <f t="shared" si="13"/>
        <v>0</v>
      </c>
      <c r="Q155">
        <f t="shared" si="14"/>
        <v>0</v>
      </c>
      <c r="R155">
        <f t="shared" si="15"/>
        <v>0</v>
      </c>
      <c r="S155">
        <f t="shared" si="16"/>
        <v>1</v>
      </c>
      <c r="T155">
        <f t="shared" si="17"/>
        <v>0</v>
      </c>
    </row>
    <row r="156" spans="1:20">
      <c r="A156" s="1" t="s">
        <v>60</v>
      </c>
      <c r="B156" s="3">
        <v>45717</v>
      </c>
      <c r="C156" s="1" t="s">
        <v>15</v>
      </c>
      <c r="D156" s="1" t="s">
        <v>18</v>
      </c>
      <c r="E156" s="1">
        <v>61433.84</v>
      </c>
      <c r="F156" s="1">
        <v>7745</v>
      </c>
      <c r="G156" s="1">
        <v>0.18</v>
      </c>
      <c r="H156" s="1">
        <v>16</v>
      </c>
      <c r="I156" s="1">
        <v>90.5</v>
      </c>
      <c r="J156" s="1">
        <v>2.2599999999999998</v>
      </c>
      <c r="K156" s="1">
        <v>0</v>
      </c>
      <c r="L156" s="1">
        <v>4.2</v>
      </c>
      <c r="M156" s="1">
        <v>685830.24</v>
      </c>
      <c r="N156" s="1">
        <v>128736.18</v>
      </c>
      <c r="O156">
        <f t="shared" si="12"/>
        <v>1</v>
      </c>
      <c r="P156">
        <f t="shared" si="13"/>
        <v>0</v>
      </c>
      <c r="Q156">
        <f t="shared" si="14"/>
        <v>0</v>
      </c>
      <c r="R156">
        <f t="shared" si="15"/>
        <v>0</v>
      </c>
      <c r="S156">
        <f t="shared" si="16"/>
        <v>1</v>
      </c>
      <c r="T156">
        <f t="shared" si="17"/>
        <v>0</v>
      </c>
    </row>
    <row r="157" spans="1:20">
      <c r="A157" s="1" t="s">
        <v>60</v>
      </c>
      <c r="B157" s="3">
        <v>45748</v>
      </c>
      <c r="C157" s="1" t="s">
        <v>15</v>
      </c>
      <c r="D157" s="1" t="s">
        <v>18</v>
      </c>
      <c r="E157" s="1">
        <v>42698.14</v>
      </c>
      <c r="F157" s="1">
        <v>7693</v>
      </c>
      <c r="G157" s="1">
        <v>0.187</v>
      </c>
      <c r="H157" s="1">
        <v>19</v>
      </c>
      <c r="I157" s="1">
        <v>90.1</v>
      </c>
      <c r="J157" s="1">
        <v>0.44</v>
      </c>
      <c r="K157" s="1">
        <v>0</v>
      </c>
      <c r="L157" s="1">
        <v>4.4000000000000004</v>
      </c>
      <c r="M157" s="1">
        <v>702318.94</v>
      </c>
      <c r="N157" s="1">
        <v>112829.29</v>
      </c>
      <c r="O157">
        <f t="shared" si="12"/>
        <v>1</v>
      </c>
      <c r="P157">
        <f t="shared" si="13"/>
        <v>0</v>
      </c>
      <c r="Q157">
        <f t="shared" si="14"/>
        <v>0</v>
      </c>
      <c r="R157">
        <f t="shared" si="15"/>
        <v>0</v>
      </c>
      <c r="S157">
        <f t="shared" si="16"/>
        <v>1</v>
      </c>
      <c r="T157">
        <f t="shared" si="17"/>
        <v>0</v>
      </c>
    </row>
    <row r="158" spans="1:20">
      <c r="A158" s="1" t="s">
        <v>61</v>
      </c>
      <c r="B158" s="3">
        <v>45658</v>
      </c>
      <c r="C158" s="1" t="s">
        <v>20</v>
      </c>
      <c r="D158" s="1" t="s">
        <v>28</v>
      </c>
      <c r="E158" s="1">
        <v>86883.31</v>
      </c>
      <c r="F158" s="1">
        <v>6424</v>
      </c>
      <c r="G158" s="1">
        <v>5.7000000000000002E-2</v>
      </c>
      <c r="H158" s="1">
        <v>19</v>
      </c>
      <c r="I158" s="1">
        <v>85.2</v>
      </c>
      <c r="J158" s="1">
        <v>3.08</v>
      </c>
      <c r="K158" s="1">
        <v>0</v>
      </c>
      <c r="L158" s="1">
        <v>3.9</v>
      </c>
      <c r="M158" s="1">
        <v>700078.32</v>
      </c>
      <c r="N158" s="1">
        <v>123707.58</v>
      </c>
      <c r="O158">
        <f t="shared" si="12"/>
        <v>0</v>
      </c>
      <c r="P158">
        <f t="shared" si="13"/>
        <v>1</v>
      </c>
      <c r="Q158">
        <f t="shared" si="14"/>
        <v>0</v>
      </c>
      <c r="R158">
        <f t="shared" si="15"/>
        <v>0</v>
      </c>
      <c r="S158">
        <f t="shared" si="16"/>
        <v>0</v>
      </c>
      <c r="T158">
        <f t="shared" si="17"/>
        <v>0</v>
      </c>
    </row>
    <row r="159" spans="1:20">
      <c r="A159" s="1" t="s">
        <v>61</v>
      </c>
      <c r="B159" s="3">
        <v>45689</v>
      </c>
      <c r="C159" s="1" t="s">
        <v>20</v>
      </c>
      <c r="D159" s="1" t="s">
        <v>28</v>
      </c>
      <c r="E159" s="1">
        <v>41863.08</v>
      </c>
      <c r="F159" s="1">
        <v>5400</v>
      </c>
      <c r="G159" s="1">
        <v>0.114</v>
      </c>
      <c r="H159" s="1">
        <v>11</v>
      </c>
      <c r="I159" s="1">
        <v>91.6</v>
      </c>
      <c r="J159" s="1">
        <v>7.99</v>
      </c>
      <c r="K159" s="1">
        <v>0</v>
      </c>
      <c r="L159" s="1">
        <v>3</v>
      </c>
      <c r="M159" s="1">
        <v>602002.31999999995</v>
      </c>
      <c r="N159" s="1">
        <v>110453.28</v>
      </c>
      <c r="O159">
        <f t="shared" si="12"/>
        <v>0</v>
      </c>
      <c r="P159">
        <f t="shared" si="13"/>
        <v>1</v>
      </c>
      <c r="Q159">
        <f t="shared" si="14"/>
        <v>0</v>
      </c>
      <c r="R159">
        <f t="shared" si="15"/>
        <v>0</v>
      </c>
      <c r="S159">
        <f t="shared" si="16"/>
        <v>0</v>
      </c>
      <c r="T159">
        <f t="shared" si="17"/>
        <v>0</v>
      </c>
    </row>
    <row r="160" spans="1:20">
      <c r="A160" s="1" t="s">
        <v>61</v>
      </c>
      <c r="B160" s="3">
        <v>45717</v>
      </c>
      <c r="C160" s="1" t="s">
        <v>20</v>
      </c>
      <c r="D160" s="1" t="s">
        <v>28</v>
      </c>
      <c r="E160" s="1">
        <v>56918.16</v>
      </c>
      <c r="F160" s="1">
        <v>7015</v>
      </c>
      <c r="G160" s="1">
        <v>0.158</v>
      </c>
      <c r="H160" s="1">
        <v>18</v>
      </c>
      <c r="I160" s="1">
        <v>74.2</v>
      </c>
      <c r="J160" s="1">
        <v>0.2</v>
      </c>
      <c r="K160" s="1">
        <v>0</v>
      </c>
      <c r="L160" s="1">
        <v>3.4</v>
      </c>
      <c r="M160" s="1">
        <v>724216.07</v>
      </c>
      <c r="N160" s="1">
        <v>100627.56</v>
      </c>
      <c r="O160">
        <f t="shared" si="12"/>
        <v>0</v>
      </c>
      <c r="P160">
        <f t="shared" si="13"/>
        <v>1</v>
      </c>
      <c r="Q160">
        <f t="shared" si="14"/>
        <v>0</v>
      </c>
      <c r="R160">
        <f t="shared" si="15"/>
        <v>0</v>
      </c>
      <c r="S160">
        <f t="shared" si="16"/>
        <v>0</v>
      </c>
      <c r="T160">
        <f t="shared" si="17"/>
        <v>0</v>
      </c>
    </row>
    <row r="161" spans="1:20">
      <c r="A161" s="1" t="s">
        <v>61</v>
      </c>
      <c r="B161" s="3">
        <v>45748</v>
      </c>
      <c r="C161" s="1" t="s">
        <v>20</v>
      </c>
      <c r="D161" s="1" t="s">
        <v>28</v>
      </c>
      <c r="E161" s="1">
        <v>23254.57</v>
      </c>
      <c r="F161" s="1">
        <v>3847</v>
      </c>
      <c r="G161" s="1">
        <v>0.159</v>
      </c>
      <c r="H161" s="1">
        <v>12</v>
      </c>
      <c r="I161" s="1">
        <v>93</v>
      </c>
      <c r="J161" s="1">
        <v>5.46</v>
      </c>
      <c r="K161" s="1">
        <v>0</v>
      </c>
      <c r="L161" s="1">
        <v>3.3</v>
      </c>
      <c r="M161" s="1">
        <v>620973.03</v>
      </c>
      <c r="N161" s="1">
        <v>72303.850000000006</v>
      </c>
      <c r="O161">
        <f t="shared" si="12"/>
        <v>0</v>
      </c>
      <c r="P161">
        <f t="shared" si="13"/>
        <v>1</v>
      </c>
      <c r="Q161">
        <f t="shared" si="14"/>
        <v>0</v>
      </c>
      <c r="R161">
        <f t="shared" si="15"/>
        <v>0</v>
      </c>
      <c r="S161">
        <f t="shared" si="16"/>
        <v>0</v>
      </c>
      <c r="T161">
        <f t="shared" si="17"/>
        <v>0</v>
      </c>
    </row>
    <row r="162" spans="1:20">
      <c r="A162" s="1" t="s">
        <v>62</v>
      </c>
      <c r="B162" s="3">
        <v>45658</v>
      </c>
      <c r="C162" s="1" t="s">
        <v>24</v>
      </c>
      <c r="D162" s="1" t="s">
        <v>18</v>
      </c>
      <c r="E162" s="1">
        <v>41443.410000000003</v>
      </c>
      <c r="F162" s="1">
        <v>7455</v>
      </c>
      <c r="G162" s="1">
        <v>0.17499999999999999</v>
      </c>
      <c r="H162" s="1">
        <v>16</v>
      </c>
      <c r="I162" s="1">
        <v>90.1</v>
      </c>
      <c r="J162" s="1">
        <v>4.05</v>
      </c>
      <c r="K162" s="1">
        <v>0</v>
      </c>
      <c r="L162" s="1">
        <v>4</v>
      </c>
      <c r="M162" s="1">
        <v>650480.06000000006</v>
      </c>
      <c r="N162" s="1">
        <v>109012.07</v>
      </c>
      <c r="O162">
        <f t="shared" si="12"/>
        <v>0</v>
      </c>
      <c r="P162">
        <f t="shared" si="13"/>
        <v>0</v>
      </c>
      <c r="Q162">
        <f t="shared" si="14"/>
        <v>1</v>
      </c>
      <c r="R162">
        <f t="shared" si="15"/>
        <v>0</v>
      </c>
      <c r="S162">
        <f t="shared" si="16"/>
        <v>1</v>
      </c>
      <c r="T162">
        <f t="shared" si="17"/>
        <v>0</v>
      </c>
    </row>
    <row r="163" spans="1:20">
      <c r="A163" s="1" t="s">
        <v>62</v>
      </c>
      <c r="B163" s="3">
        <v>45689</v>
      </c>
      <c r="C163" s="1" t="s">
        <v>24</v>
      </c>
      <c r="D163" s="1" t="s">
        <v>18</v>
      </c>
      <c r="E163" s="1">
        <v>48438.85</v>
      </c>
      <c r="F163" s="1">
        <v>6992</v>
      </c>
      <c r="G163" s="1">
        <v>3.4000000000000002E-2</v>
      </c>
      <c r="H163" s="1">
        <v>20</v>
      </c>
      <c r="I163" s="1">
        <v>91</v>
      </c>
      <c r="J163" s="1">
        <v>4.3600000000000003</v>
      </c>
      <c r="K163" s="1">
        <v>0</v>
      </c>
      <c r="L163" s="1">
        <v>4.2</v>
      </c>
      <c r="M163" s="1">
        <v>778298.88</v>
      </c>
      <c r="N163" s="1">
        <v>130076.72</v>
      </c>
      <c r="O163">
        <f t="shared" si="12"/>
        <v>0</v>
      </c>
      <c r="P163">
        <f t="shared" si="13"/>
        <v>0</v>
      </c>
      <c r="Q163">
        <f t="shared" si="14"/>
        <v>1</v>
      </c>
      <c r="R163">
        <f t="shared" si="15"/>
        <v>0</v>
      </c>
      <c r="S163">
        <f t="shared" si="16"/>
        <v>1</v>
      </c>
      <c r="T163">
        <f t="shared" si="17"/>
        <v>0</v>
      </c>
    </row>
    <row r="164" spans="1:20">
      <c r="A164" s="1" t="s">
        <v>62</v>
      </c>
      <c r="B164" s="3">
        <v>45717</v>
      </c>
      <c r="C164" s="1" t="s">
        <v>24</v>
      </c>
      <c r="D164" s="1" t="s">
        <v>18</v>
      </c>
      <c r="E164" s="1">
        <v>57143.3</v>
      </c>
      <c r="F164" s="1">
        <v>8038</v>
      </c>
      <c r="G164" s="1">
        <v>0.193</v>
      </c>
      <c r="H164" s="1">
        <v>17</v>
      </c>
      <c r="I164" s="1">
        <v>72.599999999999994</v>
      </c>
      <c r="J164" s="1"/>
      <c r="K164" s="1">
        <v>0</v>
      </c>
      <c r="L164" s="1">
        <v>4.2</v>
      </c>
      <c r="M164" s="1">
        <v>677096.71</v>
      </c>
      <c r="N164" s="1">
        <v>97174.11</v>
      </c>
      <c r="O164">
        <f t="shared" si="12"/>
        <v>0</v>
      </c>
      <c r="P164">
        <f t="shared" si="13"/>
        <v>0</v>
      </c>
      <c r="Q164">
        <f t="shared" si="14"/>
        <v>1</v>
      </c>
      <c r="R164">
        <f t="shared" si="15"/>
        <v>0</v>
      </c>
      <c r="S164">
        <f t="shared" si="16"/>
        <v>1</v>
      </c>
      <c r="T164">
        <f t="shared" si="17"/>
        <v>0</v>
      </c>
    </row>
    <row r="165" spans="1:20">
      <c r="A165" s="1" t="s">
        <v>62</v>
      </c>
      <c r="B165" s="3">
        <v>45748</v>
      </c>
      <c r="C165" s="1" t="s">
        <v>24</v>
      </c>
      <c r="D165" s="1" t="s">
        <v>18</v>
      </c>
      <c r="E165" s="1">
        <v>66870.62</v>
      </c>
      <c r="F165" s="1">
        <v>6055</v>
      </c>
      <c r="G165" s="1">
        <v>7.4999999999999997E-2</v>
      </c>
      <c r="H165" s="1">
        <v>19</v>
      </c>
      <c r="I165" s="1">
        <v>93.8</v>
      </c>
      <c r="J165" s="1">
        <v>0.54</v>
      </c>
      <c r="K165" s="1">
        <v>0</v>
      </c>
      <c r="L165" s="1">
        <v>4.3</v>
      </c>
      <c r="M165" s="1">
        <v>692008.64</v>
      </c>
      <c r="N165" s="1">
        <v>116337.87</v>
      </c>
      <c r="O165">
        <f t="shared" si="12"/>
        <v>0</v>
      </c>
      <c r="P165">
        <f t="shared" si="13"/>
        <v>0</v>
      </c>
      <c r="Q165">
        <f t="shared" si="14"/>
        <v>1</v>
      </c>
      <c r="R165">
        <f t="shared" si="15"/>
        <v>0</v>
      </c>
      <c r="S165">
        <f t="shared" si="16"/>
        <v>1</v>
      </c>
      <c r="T165">
        <f t="shared" si="17"/>
        <v>0</v>
      </c>
    </row>
    <row r="166" spans="1:20">
      <c r="A166" s="1" t="s">
        <v>63</v>
      </c>
      <c r="B166" s="3">
        <v>45658</v>
      </c>
      <c r="C166" s="1" t="s">
        <v>20</v>
      </c>
      <c r="D166" s="1" t="s">
        <v>28</v>
      </c>
      <c r="E166" s="1">
        <v>72150.53</v>
      </c>
      <c r="F166" s="1">
        <v>9323</v>
      </c>
      <c r="G166" s="1">
        <v>0.157</v>
      </c>
      <c r="H166" s="1">
        <v>22</v>
      </c>
      <c r="I166" s="1">
        <v>82.9</v>
      </c>
      <c r="J166" s="1">
        <v>11.37</v>
      </c>
      <c r="K166" s="1">
        <v>1</v>
      </c>
      <c r="L166" s="1">
        <v>4.3</v>
      </c>
      <c r="M166" s="1">
        <v>825797.91</v>
      </c>
      <c r="N166" s="1">
        <v>130945.24</v>
      </c>
      <c r="O166">
        <f t="shared" si="12"/>
        <v>0</v>
      </c>
      <c r="P166">
        <f t="shared" si="13"/>
        <v>1</v>
      </c>
      <c r="Q166">
        <f t="shared" si="14"/>
        <v>0</v>
      </c>
      <c r="R166">
        <f t="shared" si="15"/>
        <v>0</v>
      </c>
      <c r="S166">
        <f t="shared" si="16"/>
        <v>0</v>
      </c>
      <c r="T166">
        <f t="shared" si="17"/>
        <v>0</v>
      </c>
    </row>
    <row r="167" spans="1:20">
      <c r="A167" s="1" t="s">
        <v>63</v>
      </c>
      <c r="B167" s="3">
        <v>45689</v>
      </c>
      <c r="C167" s="1" t="s">
        <v>20</v>
      </c>
      <c r="D167" s="1" t="s">
        <v>28</v>
      </c>
      <c r="E167" s="1">
        <v>35303.300000000003</v>
      </c>
      <c r="F167" s="1">
        <v>8789</v>
      </c>
      <c r="G167" s="1">
        <v>0.123</v>
      </c>
      <c r="H167" s="1">
        <v>22</v>
      </c>
      <c r="I167" s="1">
        <v>86.1</v>
      </c>
      <c r="J167" s="1">
        <v>9.43</v>
      </c>
      <c r="K167" s="1">
        <v>0</v>
      </c>
      <c r="L167" s="1">
        <v>4.2</v>
      </c>
      <c r="M167" s="1">
        <v>706285.52</v>
      </c>
      <c r="N167" s="1">
        <v>138014.72</v>
      </c>
      <c r="O167">
        <f t="shared" si="12"/>
        <v>0</v>
      </c>
      <c r="P167">
        <f t="shared" si="13"/>
        <v>1</v>
      </c>
      <c r="Q167">
        <f t="shared" si="14"/>
        <v>0</v>
      </c>
      <c r="R167">
        <f t="shared" si="15"/>
        <v>0</v>
      </c>
      <c r="S167">
        <f t="shared" si="16"/>
        <v>0</v>
      </c>
      <c r="T167">
        <f t="shared" si="17"/>
        <v>0</v>
      </c>
    </row>
    <row r="168" spans="1:20">
      <c r="A168" s="1" t="s">
        <v>63</v>
      </c>
      <c r="B168" s="3">
        <v>45717</v>
      </c>
      <c r="C168" s="1" t="s">
        <v>20</v>
      </c>
      <c r="D168" s="1" t="s">
        <v>28</v>
      </c>
      <c r="E168" s="1">
        <v>30301.86</v>
      </c>
      <c r="F168" s="1">
        <v>6939</v>
      </c>
      <c r="G168" s="1">
        <v>0.09</v>
      </c>
      <c r="H168" s="1">
        <v>16</v>
      </c>
      <c r="I168" s="1">
        <v>90.3</v>
      </c>
      <c r="J168" s="1">
        <v>3.49</v>
      </c>
      <c r="K168" s="1">
        <v>0</v>
      </c>
      <c r="L168" s="1">
        <v>4</v>
      </c>
      <c r="M168" s="1">
        <v>665534.69999999995</v>
      </c>
      <c r="N168" s="1">
        <v>113167.73</v>
      </c>
      <c r="O168">
        <f t="shared" si="12"/>
        <v>0</v>
      </c>
      <c r="P168">
        <f t="shared" si="13"/>
        <v>1</v>
      </c>
      <c r="Q168">
        <f t="shared" si="14"/>
        <v>0</v>
      </c>
      <c r="R168">
        <f t="shared" si="15"/>
        <v>0</v>
      </c>
      <c r="S168">
        <f t="shared" si="16"/>
        <v>0</v>
      </c>
      <c r="T168">
        <f t="shared" si="17"/>
        <v>0</v>
      </c>
    </row>
    <row r="169" spans="1:20">
      <c r="A169" s="1" t="s">
        <v>63</v>
      </c>
      <c r="B169" s="3">
        <v>45748</v>
      </c>
      <c r="C169" s="1" t="s">
        <v>20</v>
      </c>
      <c r="D169" s="1" t="s">
        <v>28</v>
      </c>
      <c r="E169" s="1">
        <v>78432.14</v>
      </c>
      <c r="F169" s="1">
        <v>9440</v>
      </c>
      <c r="G169" s="1">
        <v>0.126</v>
      </c>
      <c r="H169" s="1">
        <v>23</v>
      </c>
      <c r="I169" s="1">
        <v>89.2</v>
      </c>
      <c r="J169" s="1">
        <v>7.86</v>
      </c>
      <c r="K169" s="1">
        <v>0</v>
      </c>
      <c r="L169" s="1">
        <v>4.0999999999999996</v>
      </c>
      <c r="M169" s="1">
        <v>820729.29</v>
      </c>
      <c r="N169" s="1">
        <v>159325.47</v>
      </c>
      <c r="O169">
        <f t="shared" si="12"/>
        <v>0</v>
      </c>
      <c r="P169">
        <f t="shared" si="13"/>
        <v>1</v>
      </c>
      <c r="Q169">
        <f t="shared" si="14"/>
        <v>0</v>
      </c>
      <c r="R169">
        <f t="shared" si="15"/>
        <v>0</v>
      </c>
      <c r="S169">
        <f t="shared" si="16"/>
        <v>0</v>
      </c>
      <c r="T169">
        <f t="shared" si="17"/>
        <v>0</v>
      </c>
    </row>
    <row r="170" spans="1:20">
      <c r="A170" s="1" t="s">
        <v>64</v>
      </c>
      <c r="B170" s="3">
        <v>45658</v>
      </c>
      <c r="C170" s="1" t="s">
        <v>15</v>
      </c>
      <c r="D170" s="1" t="s">
        <v>16</v>
      </c>
      <c r="E170" s="1">
        <v>62059.18</v>
      </c>
      <c r="F170" s="1">
        <v>9374</v>
      </c>
      <c r="G170" s="1">
        <v>0.13600000000000001</v>
      </c>
      <c r="H170" s="1">
        <v>25</v>
      </c>
      <c r="I170" s="1">
        <v>87.1</v>
      </c>
      <c r="J170" s="1">
        <v>12.55</v>
      </c>
      <c r="K170" s="1">
        <v>0</v>
      </c>
      <c r="L170" s="1">
        <v>4.9000000000000004</v>
      </c>
      <c r="M170" s="1">
        <v>739831.73</v>
      </c>
      <c r="N170" s="1">
        <v>119490.21</v>
      </c>
      <c r="O170">
        <f t="shared" si="12"/>
        <v>1</v>
      </c>
      <c r="P170">
        <f t="shared" si="13"/>
        <v>0</v>
      </c>
      <c r="Q170">
        <f t="shared" si="14"/>
        <v>0</v>
      </c>
      <c r="R170">
        <f t="shared" si="15"/>
        <v>1</v>
      </c>
      <c r="S170">
        <f t="shared" si="16"/>
        <v>0</v>
      </c>
      <c r="T170">
        <f t="shared" si="17"/>
        <v>0</v>
      </c>
    </row>
    <row r="171" spans="1:20">
      <c r="A171" s="1" t="s">
        <v>64</v>
      </c>
      <c r="B171" s="3">
        <v>45689</v>
      </c>
      <c r="C171" s="1" t="s">
        <v>15</v>
      </c>
      <c r="D171" s="1" t="s">
        <v>16</v>
      </c>
      <c r="E171" s="1">
        <v>32834.480000000003</v>
      </c>
      <c r="F171" s="1">
        <v>7576</v>
      </c>
      <c r="G171" s="1">
        <v>9.9000000000000005E-2</v>
      </c>
      <c r="H171" s="1">
        <v>15</v>
      </c>
      <c r="I171" s="1">
        <v>84.1</v>
      </c>
      <c r="J171" s="1">
        <v>3.48</v>
      </c>
      <c r="K171" s="1">
        <v>0</v>
      </c>
      <c r="L171" s="1">
        <v>5</v>
      </c>
      <c r="M171" s="1">
        <v>593637.14</v>
      </c>
      <c r="N171" s="1">
        <v>106648.14</v>
      </c>
      <c r="O171">
        <f t="shared" si="12"/>
        <v>1</v>
      </c>
      <c r="P171">
        <f t="shared" si="13"/>
        <v>0</v>
      </c>
      <c r="Q171">
        <f t="shared" si="14"/>
        <v>0</v>
      </c>
      <c r="R171">
        <f t="shared" si="15"/>
        <v>1</v>
      </c>
      <c r="S171">
        <f t="shared" si="16"/>
        <v>0</v>
      </c>
      <c r="T171">
        <f t="shared" si="17"/>
        <v>0</v>
      </c>
    </row>
    <row r="172" spans="1:20">
      <c r="A172" s="1" t="s">
        <v>64</v>
      </c>
      <c r="B172" s="3">
        <v>45717</v>
      </c>
      <c r="C172" s="1" t="s">
        <v>15</v>
      </c>
      <c r="D172" s="1" t="s">
        <v>16</v>
      </c>
      <c r="E172" s="1">
        <v>50825.08</v>
      </c>
      <c r="F172" s="1">
        <v>8949</v>
      </c>
      <c r="G172" s="1">
        <v>0.157</v>
      </c>
      <c r="H172" s="1">
        <v>21</v>
      </c>
      <c r="I172" s="1">
        <v>84.7</v>
      </c>
      <c r="J172" s="1">
        <v>7.73</v>
      </c>
      <c r="K172" s="1">
        <v>0</v>
      </c>
      <c r="L172" s="1">
        <v>4.9000000000000004</v>
      </c>
      <c r="M172" s="1">
        <v>769702.76</v>
      </c>
      <c r="N172" s="1">
        <v>158697</v>
      </c>
      <c r="O172">
        <f t="shared" si="12"/>
        <v>1</v>
      </c>
      <c r="P172">
        <f t="shared" si="13"/>
        <v>0</v>
      </c>
      <c r="Q172">
        <f t="shared" si="14"/>
        <v>0</v>
      </c>
      <c r="R172">
        <f t="shared" si="15"/>
        <v>1</v>
      </c>
      <c r="S172">
        <f t="shared" si="16"/>
        <v>0</v>
      </c>
      <c r="T172">
        <f t="shared" si="17"/>
        <v>0</v>
      </c>
    </row>
    <row r="173" spans="1:20">
      <c r="A173" s="1" t="s">
        <v>64</v>
      </c>
      <c r="B173" s="3">
        <v>45748</v>
      </c>
      <c r="C173" s="1" t="s">
        <v>15</v>
      </c>
      <c r="D173" s="1" t="s">
        <v>16</v>
      </c>
      <c r="E173" s="1">
        <v>36606.51</v>
      </c>
      <c r="F173" s="1">
        <v>7671</v>
      </c>
      <c r="G173" s="1">
        <v>0.11799999999999999</v>
      </c>
      <c r="H173" s="1">
        <v>18</v>
      </c>
      <c r="I173" s="1">
        <v>89.8</v>
      </c>
      <c r="J173" s="1">
        <v>0.25</v>
      </c>
      <c r="K173" s="1">
        <v>0</v>
      </c>
      <c r="L173" s="1">
        <v>4.4000000000000004</v>
      </c>
      <c r="M173" s="1">
        <v>679731.57</v>
      </c>
      <c r="N173" s="1">
        <v>121546.42</v>
      </c>
      <c r="O173">
        <f t="shared" si="12"/>
        <v>1</v>
      </c>
      <c r="P173">
        <f t="shared" si="13"/>
        <v>0</v>
      </c>
      <c r="Q173">
        <f t="shared" si="14"/>
        <v>0</v>
      </c>
      <c r="R173">
        <f t="shared" si="15"/>
        <v>1</v>
      </c>
      <c r="S173">
        <f t="shared" si="16"/>
        <v>0</v>
      </c>
      <c r="T173">
        <f t="shared" si="17"/>
        <v>0</v>
      </c>
    </row>
    <row r="174" spans="1:20">
      <c r="A174" s="1" t="s">
        <v>65</v>
      </c>
      <c r="B174" s="3">
        <v>45658</v>
      </c>
      <c r="C174" s="1" t="s">
        <v>15</v>
      </c>
      <c r="D174" s="1" t="s">
        <v>16</v>
      </c>
      <c r="E174" s="1">
        <v>65237.79</v>
      </c>
      <c r="F174" s="1">
        <v>8741</v>
      </c>
      <c r="G174" s="1">
        <v>0.157</v>
      </c>
      <c r="H174" s="1">
        <v>20</v>
      </c>
      <c r="I174" s="1">
        <v>94.4</v>
      </c>
      <c r="J174" s="1">
        <v>6.43</v>
      </c>
      <c r="K174" s="1">
        <v>0</v>
      </c>
      <c r="L174" s="1">
        <v>3.3</v>
      </c>
      <c r="M174" s="1">
        <v>780344.18</v>
      </c>
      <c r="N174" s="1">
        <v>118239.09</v>
      </c>
      <c r="O174">
        <f t="shared" si="12"/>
        <v>1</v>
      </c>
      <c r="P174">
        <f t="shared" si="13"/>
        <v>0</v>
      </c>
      <c r="Q174">
        <f t="shared" si="14"/>
        <v>0</v>
      </c>
      <c r="R174">
        <f t="shared" si="15"/>
        <v>1</v>
      </c>
      <c r="S174">
        <f t="shared" si="16"/>
        <v>0</v>
      </c>
      <c r="T174">
        <f t="shared" si="17"/>
        <v>0</v>
      </c>
    </row>
    <row r="175" spans="1:20">
      <c r="A175" s="1" t="s">
        <v>65</v>
      </c>
      <c r="B175" s="3">
        <v>45689</v>
      </c>
      <c r="C175" s="1" t="s">
        <v>15</v>
      </c>
      <c r="D175" s="1" t="s">
        <v>16</v>
      </c>
      <c r="E175" s="1">
        <v>43645.98</v>
      </c>
      <c r="F175" s="1">
        <v>9480</v>
      </c>
      <c r="G175" s="1">
        <v>0.109</v>
      </c>
      <c r="H175" s="1">
        <v>22</v>
      </c>
      <c r="I175" s="1">
        <v>89</v>
      </c>
      <c r="J175" s="1">
        <v>2.11</v>
      </c>
      <c r="K175" s="1">
        <v>0</v>
      </c>
      <c r="L175" s="1">
        <v>3.1</v>
      </c>
      <c r="M175" s="1">
        <v>721364.11</v>
      </c>
      <c r="N175" s="1">
        <v>147272.81</v>
      </c>
      <c r="O175">
        <f t="shared" si="12"/>
        <v>1</v>
      </c>
      <c r="P175">
        <f t="shared" si="13"/>
        <v>0</v>
      </c>
      <c r="Q175">
        <f t="shared" si="14"/>
        <v>0</v>
      </c>
      <c r="R175">
        <f t="shared" si="15"/>
        <v>1</v>
      </c>
      <c r="S175">
        <f t="shared" si="16"/>
        <v>0</v>
      </c>
      <c r="T175">
        <f t="shared" si="17"/>
        <v>0</v>
      </c>
    </row>
    <row r="176" spans="1:20">
      <c r="A176" s="1" t="s">
        <v>65</v>
      </c>
      <c r="B176" s="3">
        <v>45717</v>
      </c>
      <c r="C176" s="1" t="s">
        <v>15</v>
      </c>
      <c r="D176" s="1" t="s">
        <v>16</v>
      </c>
      <c r="E176" s="1">
        <v>68040.149999999994</v>
      </c>
      <c r="F176" s="1">
        <v>9826</v>
      </c>
      <c r="G176" s="1">
        <v>0.125</v>
      </c>
      <c r="H176" s="1">
        <v>20</v>
      </c>
      <c r="I176" s="1">
        <v>83.9</v>
      </c>
      <c r="J176" s="1">
        <v>9.1199999999999992</v>
      </c>
      <c r="K176" s="1">
        <v>0</v>
      </c>
      <c r="L176" s="1">
        <v>3.6</v>
      </c>
      <c r="M176" s="1">
        <v>758138.29</v>
      </c>
      <c r="N176" s="1">
        <v>132975.26</v>
      </c>
      <c r="O176">
        <f t="shared" si="12"/>
        <v>1</v>
      </c>
      <c r="P176">
        <f t="shared" si="13"/>
        <v>0</v>
      </c>
      <c r="Q176">
        <f t="shared" si="14"/>
        <v>0</v>
      </c>
      <c r="R176">
        <f t="shared" si="15"/>
        <v>1</v>
      </c>
      <c r="S176">
        <f t="shared" si="16"/>
        <v>0</v>
      </c>
      <c r="T176">
        <f t="shared" si="17"/>
        <v>0</v>
      </c>
    </row>
    <row r="177" spans="1:20">
      <c r="A177" s="1" t="s">
        <v>65</v>
      </c>
      <c r="B177" s="3">
        <v>45748</v>
      </c>
      <c r="C177" s="1" t="s">
        <v>15</v>
      </c>
      <c r="D177" s="1" t="s">
        <v>16</v>
      </c>
      <c r="E177" s="1">
        <v>63043.94</v>
      </c>
      <c r="F177" s="1">
        <v>10402</v>
      </c>
      <c r="G177" s="1">
        <v>0.159</v>
      </c>
      <c r="H177" s="1">
        <v>23</v>
      </c>
      <c r="I177" s="1">
        <v>93.9</v>
      </c>
      <c r="J177" s="1">
        <v>2.71</v>
      </c>
      <c r="K177" s="1">
        <v>0</v>
      </c>
      <c r="L177" s="1">
        <v>3.1</v>
      </c>
      <c r="M177" s="1">
        <v>804264</v>
      </c>
      <c r="N177" s="1">
        <v>167117.91</v>
      </c>
      <c r="O177">
        <f t="shared" si="12"/>
        <v>1</v>
      </c>
      <c r="P177">
        <f t="shared" si="13"/>
        <v>0</v>
      </c>
      <c r="Q177">
        <f t="shared" si="14"/>
        <v>0</v>
      </c>
      <c r="R177">
        <f t="shared" si="15"/>
        <v>1</v>
      </c>
      <c r="S177">
        <f t="shared" si="16"/>
        <v>0</v>
      </c>
      <c r="T177">
        <f t="shared" si="17"/>
        <v>0</v>
      </c>
    </row>
    <row r="178" spans="1:20">
      <c r="A178" s="1" t="s">
        <v>66</v>
      </c>
      <c r="B178" s="3">
        <v>45658</v>
      </c>
      <c r="C178" s="1" t="s">
        <v>27</v>
      </c>
      <c r="D178" s="1" t="s">
        <v>21</v>
      </c>
      <c r="E178" s="1">
        <v>67494.09</v>
      </c>
      <c r="F178" s="1">
        <v>12361</v>
      </c>
      <c r="G178" s="1">
        <v>4.5999999999999999E-2</v>
      </c>
      <c r="H178" s="1">
        <v>24</v>
      </c>
      <c r="I178" s="1">
        <v>76.599999999999994</v>
      </c>
      <c r="J178" s="1">
        <v>3.65</v>
      </c>
      <c r="K178" s="1">
        <v>1</v>
      </c>
      <c r="L178" s="1">
        <v>3.7</v>
      </c>
      <c r="M178" s="1">
        <v>887537.75</v>
      </c>
      <c r="N178" s="1">
        <v>160362.92000000001</v>
      </c>
      <c r="O178">
        <f t="shared" si="12"/>
        <v>0</v>
      </c>
      <c r="P178">
        <f t="shared" si="13"/>
        <v>0</v>
      </c>
      <c r="Q178">
        <f t="shared" si="14"/>
        <v>0</v>
      </c>
      <c r="R178">
        <f t="shared" si="15"/>
        <v>0</v>
      </c>
      <c r="S178">
        <f t="shared" si="16"/>
        <v>0</v>
      </c>
      <c r="T178">
        <f t="shared" si="17"/>
        <v>1</v>
      </c>
    </row>
    <row r="179" spans="1:20">
      <c r="A179" s="1" t="s">
        <v>66</v>
      </c>
      <c r="B179" s="3">
        <v>45689</v>
      </c>
      <c r="C179" s="1" t="s">
        <v>27</v>
      </c>
      <c r="D179" s="1" t="s">
        <v>21</v>
      </c>
      <c r="E179" s="1">
        <v>29389.32</v>
      </c>
      <c r="F179" s="1">
        <v>7925</v>
      </c>
      <c r="G179" s="1">
        <v>0.17699999999999999</v>
      </c>
      <c r="H179" s="1">
        <v>21</v>
      </c>
      <c r="I179" s="1">
        <v>90.9</v>
      </c>
      <c r="J179" s="1">
        <v>7.86</v>
      </c>
      <c r="K179" s="1">
        <v>0</v>
      </c>
      <c r="L179" s="1">
        <v>4</v>
      </c>
      <c r="M179" s="1">
        <v>783582</v>
      </c>
      <c r="N179" s="1">
        <v>130670.93</v>
      </c>
      <c r="O179">
        <f t="shared" si="12"/>
        <v>0</v>
      </c>
      <c r="P179">
        <f t="shared" si="13"/>
        <v>0</v>
      </c>
      <c r="Q179">
        <f t="shared" si="14"/>
        <v>0</v>
      </c>
      <c r="R179">
        <f t="shared" si="15"/>
        <v>0</v>
      </c>
      <c r="S179">
        <f t="shared" si="16"/>
        <v>0</v>
      </c>
      <c r="T179">
        <f t="shared" si="17"/>
        <v>1</v>
      </c>
    </row>
    <row r="180" spans="1:20">
      <c r="A180" s="1" t="s">
        <v>66</v>
      </c>
      <c r="B180" s="3">
        <v>45717</v>
      </c>
      <c r="C180" s="1" t="s">
        <v>27</v>
      </c>
      <c r="D180" s="1" t="s">
        <v>21</v>
      </c>
      <c r="E180" s="1">
        <v>40535.089999999997</v>
      </c>
      <c r="F180" s="1">
        <v>8870</v>
      </c>
      <c r="G180" s="1">
        <v>4.1000000000000002E-2</v>
      </c>
      <c r="H180" s="1">
        <v>21</v>
      </c>
      <c r="I180" s="1">
        <v>86.6</v>
      </c>
      <c r="J180" s="1">
        <v>0.3</v>
      </c>
      <c r="K180" s="1">
        <v>0</v>
      </c>
      <c r="L180" s="1">
        <v>4.0999999999999996</v>
      </c>
      <c r="M180" s="1">
        <v>781955.52</v>
      </c>
      <c r="N180" s="1">
        <v>152578.71</v>
      </c>
      <c r="O180">
        <f t="shared" si="12"/>
        <v>0</v>
      </c>
      <c r="P180">
        <f t="shared" si="13"/>
        <v>0</v>
      </c>
      <c r="Q180">
        <f t="shared" si="14"/>
        <v>0</v>
      </c>
      <c r="R180">
        <f t="shared" si="15"/>
        <v>0</v>
      </c>
      <c r="S180">
        <f t="shared" si="16"/>
        <v>0</v>
      </c>
      <c r="T180">
        <f t="shared" si="17"/>
        <v>1</v>
      </c>
    </row>
    <row r="181" spans="1:20">
      <c r="A181" s="1" t="s">
        <v>66</v>
      </c>
      <c r="B181" s="3">
        <v>45748</v>
      </c>
      <c r="C181" s="1" t="s">
        <v>27</v>
      </c>
      <c r="D181" s="1" t="s">
        <v>21</v>
      </c>
      <c r="E181" s="1">
        <v>74881.56</v>
      </c>
      <c r="F181" s="1">
        <v>9999</v>
      </c>
      <c r="G181" s="1">
        <v>1.2999999999999999E-2</v>
      </c>
      <c r="H181" s="1">
        <v>20</v>
      </c>
      <c r="I181" s="1">
        <v>89.6</v>
      </c>
      <c r="J181" s="1">
        <v>8.44</v>
      </c>
      <c r="K181" s="1">
        <v>0</v>
      </c>
      <c r="L181" s="1">
        <v>4.0999999999999996</v>
      </c>
      <c r="M181" s="1">
        <v>898031.04</v>
      </c>
      <c r="N181" s="1">
        <v>138666.5</v>
      </c>
      <c r="O181">
        <f t="shared" si="12"/>
        <v>0</v>
      </c>
      <c r="P181">
        <f t="shared" si="13"/>
        <v>0</v>
      </c>
      <c r="Q181">
        <f t="shared" si="14"/>
        <v>0</v>
      </c>
      <c r="R181">
        <f t="shared" si="15"/>
        <v>0</v>
      </c>
      <c r="S181">
        <f t="shared" si="16"/>
        <v>0</v>
      </c>
      <c r="T181">
        <f t="shared" si="17"/>
        <v>1</v>
      </c>
    </row>
    <row r="182" spans="1:20">
      <c r="A182" s="1" t="s">
        <v>67</v>
      </c>
      <c r="B182" s="3">
        <v>45658</v>
      </c>
      <c r="C182" s="1" t="s">
        <v>27</v>
      </c>
      <c r="D182" s="1" t="s">
        <v>16</v>
      </c>
      <c r="E182" s="1">
        <v>68491.11</v>
      </c>
      <c r="F182" s="1">
        <v>11154</v>
      </c>
      <c r="G182" s="1">
        <v>1E-3</v>
      </c>
      <c r="H182" s="1">
        <v>24</v>
      </c>
      <c r="I182" s="1">
        <v>89.4</v>
      </c>
      <c r="J182" s="1">
        <v>5.27</v>
      </c>
      <c r="K182" s="1">
        <v>1</v>
      </c>
      <c r="L182" s="1">
        <v>3.9</v>
      </c>
      <c r="M182" s="1">
        <v>855341.28</v>
      </c>
      <c r="N182" s="1">
        <v>175823.8</v>
      </c>
      <c r="O182">
        <f t="shared" si="12"/>
        <v>0</v>
      </c>
      <c r="P182">
        <f t="shared" si="13"/>
        <v>0</v>
      </c>
      <c r="Q182">
        <f t="shared" si="14"/>
        <v>0</v>
      </c>
      <c r="R182">
        <f t="shared" si="15"/>
        <v>1</v>
      </c>
      <c r="S182">
        <f t="shared" si="16"/>
        <v>0</v>
      </c>
      <c r="T182">
        <f t="shared" si="17"/>
        <v>0</v>
      </c>
    </row>
    <row r="183" spans="1:20">
      <c r="A183" s="1" t="s">
        <v>67</v>
      </c>
      <c r="B183" s="3">
        <v>45689</v>
      </c>
      <c r="C183" s="1" t="s">
        <v>27</v>
      </c>
      <c r="D183" s="1" t="s">
        <v>16</v>
      </c>
      <c r="E183" s="1">
        <v>45209.25</v>
      </c>
      <c r="F183" s="1">
        <v>9287</v>
      </c>
      <c r="G183" s="1">
        <v>0.14099999999999999</v>
      </c>
      <c r="H183" s="1">
        <v>22</v>
      </c>
      <c r="I183" s="1">
        <v>86.4</v>
      </c>
      <c r="J183" s="1">
        <v>13.22</v>
      </c>
      <c r="K183" s="1">
        <v>0</v>
      </c>
      <c r="L183" s="1">
        <v>3.6</v>
      </c>
      <c r="M183" s="1">
        <v>751393.88</v>
      </c>
      <c r="N183" s="1">
        <v>91480.320000000007</v>
      </c>
      <c r="O183">
        <f t="shared" si="12"/>
        <v>0</v>
      </c>
      <c r="P183">
        <f t="shared" si="13"/>
        <v>0</v>
      </c>
      <c r="Q183">
        <f t="shared" si="14"/>
        <v>0</v>
      </c>
      <c r="R183">
        <f t="shared" si="15"/>
        <v>1</v>
      </c>
      <c r="S183">
        <f t="shared" si="16"/>
        <v>0</v>
      </c>
      <c r="T183">
        <f t="shared" si="17"/>
        <v>0</v>
      </c>
    </row>
    <row r="184" spans="1:20">
      <c r="A184" s="1" t="s">
        <v>67</v>
      </c>
      <c r="B184" s="3">
        <v>45717</v>
      </c>
      <c r="C184" s="1" t="s">
        <v>27</v>
      </c>
      <c r="D184" s="1" t="s">
        <v>16</v>
      </c>
      <c r="E184" s="1">
        <v>63010.23</v>
      </c>
      <c r="F184" s="1">
        <v>9812</v>
      </c>
      <c r="G184" s="1">
        <v>0.113</v>
      </c>
      <c r="H184" s="1">
        <v>24</v>
      </c>
      <c r="I184" s="1">
        <v>76.8</v>
      </c>
      <c r="J184" s="1">
        <v>1.02</v>
      </c>
      <c r="K184" s="1">
        <v>1</v>
      </c>
      <c r="L184" s="1">
        <v>3.8</v>
      </c>
      <c r="M184" s="1">
        <v>761077.08</v>
      </c>
      <c r="N184" s="1">
        <v>113605.93</v>
      </c>
      <c r="O184">
        <f t="shared" si="12"/>
        <v>0</v>
      </c>
      <c r="P184">
        <f t="shared" si="13"/>
        <v>0</v>
      </c>
      <c r="Q184">
        <f t="shared" si="14"/>
        <v>0</v>
      </c>
      <c r="R184">
        <f t="shared" si="15"/>
        <v>1</v>
      </c>
      <c r="S184">
        <f t="shared" si="16"/>
        <v>0</v>
      </c>
      <c r="T184">
        <f t="shared" si="17"/>
        <v>0</v>
      </c>
    </row>
    <row r="185" spans="1:20">
      <c r="A185" s="1" t="s">
        <v>67</v>
      </c>
      <c r="B185" s="3">
        <v>45748</v>
      </c>
      <c r="C185" s="1" t="s">
        <v>27</v>
      </c>
      <c r="D185" s="1" t="s">
        <v>16</v>
      </c>
      <c r="E185" s="1">
        <v>57948.88</v>
      </c>
      <c r="F185" s="1">
        <v>10741</v>
      </c>
      <c r="G185" s="1">
        <v>7.0000000000000007E-2</v>
      </c>
      <c r="H185" s="1">
        <v>25</v>
      </c>
      <c r="I185" s="1">
        <v>90.1</v>
      </c>
      <c r="J185" s="1">
        <v>4.03</v>
      </c>
      <c r="K185" s="1">
        <v>0</v>
      </c>
      <c r="L185" s="1">
        <v>3.1</v>
      </c>
      <c r="M185" s="1">
        <v>819660.59</v>
      </c>
      <c r="N185" s="1">
        <v>172699.95</v>
      </c>
      <c r="O185">
        <f t="shared" si="12"/>
        <v>0</v>
      </c>
      <c r="P185">
        <f t="shared" si="13"/>
        <v>0</v>
      </c>
      <c r="Q185">
        <f t="shared" si="14"/>
        <v>0</v>
      </c>
      <c r="R185">
        <f t="shared" si="15"/>
        <v>1</v>
      </c>
      <c r="S185">
        <f t="shared" si="16"/>
        <v>0</v>
      </c>
      <c r="T185">
        <f t="shared" si="17"/>
        <v>0</v>
      </c>
    </row>
    <row r="186" spans="1:20">
      <c r="A186" s="1" t="s">
        <v>68</v>
      </c>
      <c r="B186" s="3">
        <v>45658</v>
      </c>
      <c r="C186" s="1" t="s">
        <v>20</v>
      </c>
      <c r="D186" s="1" t="s">
        <v>18</v>
      </c>
      <c r="E186" s="1">
        <v>71941.62</v>
      </c>
      <c r="F186" s="1">
        <v>6084</v>
      </c>
      <c r="G186" s="1">
        <v>7.1999999999999995E-2</v>
      </c>
      <c r="H186" s="1">
        <v>13</v>
      </c>
      <c r="I186" s="1">
        <v>93.7</v>
      </c>
      <c r="J186" s="1">
        <v>2.34</v>
      </c>
      <c r="K186" s="1">
        <v>0</v>
      </c>
      <c r="L186" s="1">
        <v>4.4000000000000004</v>
      </c>
      <c r="M186" s="1">
        <v>681855.56</v>
      </c>
      <c r="N186" s="1">
        <v>117645.61</v>
      </c>
      <c r="O186">
        <f t="shared" si="12"/>
        <v>0</v>
      </c>
      <c r="P186">
        <f t="shared" si="13"/>
        <v>1</v>
      </c>
      <c r="Q186">
        <f t="shared" si="14"/>
        <v>0</v>
      </c>
      <c r="R186">
        <f t="shared" si="15"/>
        <v>0</v>
      </c>
      <c r="S186">
        <f t="shared" si="16"/>
        <v>1</v>
      </c>
      <c r="T186">
        <f t="shared" si="17"/>
        <v>0</v>
      </c>
    </row>
    <row r="187" spans="1:20">
      <c r="A187" s="1" t="s">
        <v>68</v>
      </c>
      <c r="B187" s="3">
        <v>45689</v>
      </c>
      <c r="C187" s="1" t="s">
        <v>20</v>
      </c>
      <c r="D187" s="1" t="s">
        <v>18</v>
      </c>
      <c r="E187" s="1">
        <v>57147.88</v>
      </c>
      <c r="F187" s="1">
        <v>5252</v>
      </c>
      <c r="G187" s="1">
        <v>0.161</v>
      </c>
      <c r="H187" s="1">
        <v>15</v>
      </c>
      <c r="I187" s="1">
        <v>95.5</v>
      </c>
      <c r="J187" s="1">
        <v>8.51</v>
      </c>
      <c r="K187" s="1">
        <v>0</v>
      </c>
      <c r="L187" s="1">
        <v>4.4000000000000004</v>
      </c>
      <c r="M187" s="1">
        <v>678311.17</v>
      </c>
      <c r="N187" s="1">
        <v>132029.76000000001</v>
      </c>
      <c r="O187">
        <f t="shared" si="12"/>
        <v>0</v>
      </c>
      <c r="P187">
        <f t="shared" si="13"/>
        <v>1</v>
      </c>
      <c r="Q187">
        <f t="shared" si="14"/>
        <v>0</v>
      </c>
      <c r="R187">
        <f t="shared" si="15"/>
        <v>0</v>
      </c>
      <c r="S187">
        <f t="shared" si="16"/>
        <v>1</v>
      </c>
      <c r="T187">
        <f t="shared" si="17"/>
        <v>0</v>
      </c>
    </row>
    <row r="188" spans="1:20">
      <c r="A188" s="1" t="s">
        <v>68</v>
      </c>
      <c r="B188" s="3">
        <v>45717</v>
      </c>
      <c r="C188" s="1" t="s">
        <v>20</v>
      </c>
      <c r="D188" s="1" t="s">
        <v>18</v>
      </c>
      <c r="E188" s="1">
        <v>48031.74</v>
      </c>
      <c r="F188" s="1">
        <v>6516</v>
      </c>
      <c r="G188" s="1">
        <v>6.7000000000000004E-2</v>
      </c>
      <c r="H188" s="1">
        <v>14</v>
      </c>
      <c r="I188" s="1">
        <v>99</v>
      </c>
      <c r="J188" s="1">
        <v>0.48</v>
      </c>
      <c r="K188" s="1">
        <v>1</v>
      </c>
      <c r="L188" s="1">
        <v>4.3</v>
      </c>
      <c r="M188" s="1">
        <v>765906.95</v>
      </c>
      <c r="N188" s="1">
        <v>114005.9</v>
      </c>
      <c r="O188">
        <f t="shared" si="12"/>
        <v>0</v>
      </c>
      <c r="P188">
        <f t="shared" si="13"/>
        <v>1</v>
      </c>
      <c r="Q188">
        <f t="shared" si="14"/>
        <v>0</v>
      </c>
      <c r="R188">
        <f t="shared" si="15"/>
        <v>0</v>
      </c>
      <c r="S188">
        <f t="shared" si="16"/>
        <v>1</v>
      </c>
      <c r="T188">
        <f t="shared" si="17"/>
        <v>0</v>
      </c>
    </row>
    <row r="189" spans="1:20">
      <c r="A189" s="1" t="s">
        <v>68</v>
      </c>
      <c r="B189" s="3">
        <v>45748</v>
      </c>
      <c r="C189" s="1" t="s">
        <v>20</v>
      </c>
      <c r="D189" s="1" t="s">
        <v>18</v>
      </c>
      <c r="E189" s="1">
        <v>72784.800000000003</v>
      </c>
      <c r="F189" s="1">
        <v>7932</v>
      </c>
      <c r="G189" s="1">
        <v>9.4E-2</v>
      </c>
      <c r="H189" s="1">
        <v>20</v>
      </c>
      <c r="I189" s="1">
        <v>74.900000000000006</v>
      </c>
      <c r="J189" s="1">
        <v>13.62</v>
      </c>
      <c r="K189" s="1">
        <v>0</v>
      </c>
      <c r="L189" s="1">
        <v>4.2</v>
      </c>
      <c r="M189" s="1">
        <v>712546.38</v>
      </c>
      <c r="N189" s="1">
        <v>101480.04</v>
      </c>
      <c r="O189">
        <f t="shared" si="12"/>
        <v>0</v>
      </c>
      <c r="P189">
        <f t="shared" si="13"/>
        <v>1</v>
      </c>
      <c r="Q189">
        <f t="shared" si="14"/>
        <v>0</v>
      </c>
      <c r="R189">
        <f t="shared" si="15"/>
        <v>0</v>
      </c>
      <c r="S189">
        <f t="shared" si="16"/>
        <v>1</v>
      </c>
      <c r="T189">
        <f t="shared" si="17"/>
        <v>0</v>
      </c>
    </row>
    <row r="190" spans="1:20">
      <c r="A190" s="1" t="s">
        <v>69</v>
      </c>
      <c r="B190" s="3">
        <v>45658</v>
      </c>
      <c r="C190" s="1" t="s">
        <v>15</v>
      </c>
      <c r="D190" s="1" t="s">
        <v>18</v>
      </c>
      <c r="E190" s="1">
        <v>71641.899999999994</v>
      </c>
      <c r="F190" s="1">
        <v>3506</v>
      </c>
      <c r="G190" s="1">
        <v>0</v>
      </c>
      <c r="H190" s="1">
        <v>11</v>
      </c>
      <c r="I190" s="1">
        <v>86.4</v>
      </c>
      <c r="J190" s="1">
        <v>7.77</v>
      </c>
      <c r="K190" s="1">
        <v>0</v>
      </c>
      <c r="L190" s="1">
        <v>4.0999999999999996</v>
      </c>
      <c r="M190" s="1">
        <v>625993.82999999996</v>
      </c>
      <c r="N190" s="1">
        <v>98960.320000000007</v>
      </c>
      <c r="O190">
        <f t="shared" si="12"/>
        <v>1</v>
      </c>
      <c r="P190">
        <f t="shared" si="13"/>
        <v>0</v>
      </c>
      <c r="Q190">
        <f t="shared" si="14"/>
        <v>0</v>
      </c>
      <c r="R190">
        <f t="shared" si="15"/>
        <v>0</v>
      </c>
      <c r="S190">
        <f t="shared" si="16"/>
        <v>1</v>
      </c>
      <c r="T190">
        <f t="shared" si="17"/>
        <v>0</v>
      </c>
    </row>
    <row r="191" spans="1:20">
      <c r="A191" s="1" t="s">
        <v>69</v>
      </c>
      <c r="B191" s="3">
        <v>45689</v>
      </c>
      <c r="C191" s="1" t="s">
        <v>15</v>
      </c>
      <c r="D191" s="1" t="s">
        <v>18</v>
      </c>
      <c r="E191" s="1">
        <v>55788.61</v>
      </c>
      <c r="F191" s="1">
        <v>2312</v>
      </c>
      <c r="G191" s="1">
        <v>5.8000000000000003E-2</v>
      </c>
      <c r="H191" s="1">
        <v>10</v>
      </c>
      <c r="I191" s="1">
        <v>91.3</v>
      </c>
      <c r="J191" s="1">
        <v>1.99</v>
      </c>
      <c r="K191" s="1">
        <v>0</v>
      </c>
      <c r="L191" s="1">
        <v>3.8</v>
      </c>
      <c r="M191" s="1">
        <v>550962.93000000005</v>
      </c>
      <c r="N191" s="1">
        <v>97144.58</v>
      </c>
      <c r="O191">
        <f t="shared" si="12"/>
        <v>1</v>
      </c>
      <c r="P191">
        <f t="shared" si="13"/>
        <v>0</v>
      </c>
      <c r="Q191">
        <f t="shared" si="14"/>
        <v>0</v>
      </c>
      <c r="R191">
        <f t="shared" si="15"/>
        <v>0</v>
      </c>
      <c r="S191">
        <f t="shared" si="16"/>
        <v>1</v>
      </c>
      <c r="T191">
        <f t="shared" si="17"/>
        <v>0</v>
      </c>
    </row>
    <row r="192" spans="1:20">
      <c r="A192" s="1" t="s">
        <v>69</v>
      </c>
      <c r="B192" s="3">
        <v>45717</v>
      </c>
      <c r="C192" s="1" t="s">
        <v>15</v>
      </c>
      <c r="D192" s="1" t="s">
        <v>18</v>
      </c>
      <c r="E192" s="1">
        <v>37705.879999999997</v>
      </c>
      <c r="F192" s="1">
        <v>1268</v>
      </c>
      <c r="G192" s="1">
        <v>0.25900000000000001</v>
      </c>
      <c r="H192" s="1">
        <v>9</v>
      </c>
      <c r="I192" s="1">
        <v>84.1</v>
      </c>
      <c r="J192" s="1">
        <v>4.7699999999999996</v>
      </c>
      <c r="K192" s="1">
        <v>0</v>
      </c>
      <c r="L192" s="1">
        <v>3.8</v>
      </c>
      <c r="M192" s="1">
        <v>443275.59</v>
      </c>
      <c r="N192" s="1">
        <v>53544.36</v>
      </c>
      <c r="O192">
        <f t="shared" si="12"/>
        <v>1</v>
      </c>
      <c r="P192">
        <f t="shared" si="13"/>
        <v>0</v>
      </c>
      <c r="Q192">
        <f t="shared" si="14"/>
        <v>0</v>
      </c>
      <c r="R192">
        <f t="shared" si="15"/>
        <v>0</v>
      </c>
      <c r="S192">
        <f t="shared" si="16"/>
        <v>1</v>
      </c>
      <c r="T192">
        <f t="shared" si="17"/>
        <v>0</v>
      </c>
    </row>
    <row r="193" spans="1:20">
      <c r="A193" s="1" t="s">
        <v>69</v>
      </c>
      <c r="B193" s="3">
        <v>45748</v>
      </c>
      <c r="C193" s="1" t="s">
        <v>15</v>
      </c>
      <c r="D193" s="1" t="s">
        <v>18</v>
      </c>
      <c r="E193" s="1">
        <v>54966.18</v>
      </c>
      <c r="F193" s="1">
        <v>4423</v>
      </c>
      <c r="G193" s="1">
        <v>0.186</v>
      </c>
      <c r="H193" s="1">
        <v>13</v>
      </c>
      <c r="I193" s="1">
        <v>88.7</v>
      </c>
      <c r="J193" s="1">
        <v>0.2</v>
      </c>
      <c r="K193" s="1">
        <v>0</v>
      </c>
      <c r="L193" s="1">
        <v>4.4000000000000004</v>
      </c>
      <c r="M193" s="1">
        <v>554012.06999999995</v>
      </c>
      <c r="N193" s="1">
        <v>81101.62</v>
      </c>
      <c r="O193">
        <f t="shared" si="12"/>
        <v>1</v>
      </c>
      <c r="P193">
        <f t="shared" si="13"/>
        <v>0</v>
      </c>
      <c r="Q193">
        <f t="shared" si="14"/>
        <v>0</v>
      </c>
      <c r="R193">
        <f t="shared" si="15"/>
        <v>0</v>
      </c>
      <c r="S193">
        <f t="shared" si="16"/>
        <v>1</v>
      </c>
      <c r="T193">
        <f t="shared" si="17"/>
        <v>0</v>
      </c>
    </row>
    <row r="194" spans="1:20">
      <c r="A194" s="1" t="s">
        <v>70</v>
      </c>
      <c r="B194" s="3">
        <v>45658</v>
      </c>
      <c r="C194" s="1" t="s">
        <v>27</v>
      </c>
      <c r="D194" s="1" t="s">
        <v>16</v>
      </c>
      <c r="E194" s="1">
        <v>81796.740000000005</v>
      </c>
      <c r="F194" s="1">
        <v>6177</v>
      </c>
      <c r="G194" s="1">
        <v>0.16400000000000001</v>
      </c>
      <c r="H194" s="1">
        <v>14</v>
      </c>
      <c r="I194" s="1">
        <v>87.9</v>
      </c>
      <c r="J194" s="1">
        <v>0.53</v>
      </c>
      <c r="K194" s="1">
        <v>0</v>
      </c>
      <c r="L194" s="1">
        <v>3.2</v>
      </c>
      <c r="M194" s="1">
        <v>643428.85</v>
      </c>
      <c r="N194" s="1">
        <v>94477.63</v>
      </c>
      <c r="O194">
        <f t="shared" si="12"/>
        <v>0</v>
      </c>
      <c r="P194">
        <f t="shared" si="13"/>
        <v>0</v>
      </c>
      <c r="Q194">
        <f t="shared" si="14"/>
        <v>0</v>
      </c>
      <c r="R194">
        <f t="shared" si="15"/>
        <v>1</v>
      </c>
      <c r="S194">
        <f t="shared" si="16"/>
        <v>0</v>
      </c>
      <c r="T194">
        <f t="shared" si="17"/>
        <v>0</v>
      </c>
    </row>
    <row r="195" spans="1:20">
      <c r="A195" s="1" t="s">
        <v>70</v>
      </c>
      <c r="B195" s="3">
        <v>45689</v>
      </c>
      <c r="C195" s="1" t="s">
        <v>27</v>
      </c>
      <c r="D195" s="1" t="s">
        <v>16</v>
      </c>
      <c r="E195" s="1">
        <v>51133.43</v>
      </c>
      <c r="F195" s="1">
        <v>5150</v>
      </c>
      <c r="G195" s="1">
        <v>0.15</v>
      </c>
      <c r="H195" s="1">
        <v>12</v>
      </c>
      <c r="I195" s="1">
        <v>88.5</v>
      </c>
      <c r="J195" s="1">
        <v>1.54</v>
      </c>
      <c r="K195" s="1">
        <v>0</v>
      </c>
      <c r="L195" s="1">
        <v>3.2</v>
      </c>
      <c r="M195" s="1">
        <v>611924.27</v>
      </c>
      <c r="N195" s="1">
        <v>115488.75</v>
      </c>
      <c r="O195">
        <f t="shared" ref="O195:O258" si="18">IF(C195="East",1,0)</f>
        <v>0</v>
      </c>
      <c r="P195">
        <f t="shared" ref="P195:P258" si="19">IF(C195="North",1,0)</f>
        <v>0</v>
      </c>
      <c r="Q195">
        <f t="shared" ref="Q195:Q258" si="20">IF(C195="South",1,0)</f>
        <v>0</v>
      </c>
      <c r="R195">
        <f t="shared" ref="R195:R258" si="21">IF(D195="Residential",1,0)</f>
        <v>1</v>
      </c>
      <c r="S195">
        <f t="shared" ref="S195:S258" si="22">IF(D195="High Street",1,0)</f>
        <v>0</v>
      </c>
      <c r="T195">
        <f t="shared" ref="T195:T258" si="23">IF(D195="Airport",1,0)</f>
        <v>0</v>
      </c>
    </row>
    <row r="196" spans="1:20">
      <c r="A196" s="1" t="s">
        <v>70</v>
      </c>
      <c r="B196" s="3">
        <v>45717</v>
      </c>
      <c r="C196" s="1" t="s">
        <v>27</v>
      </c>
      <c r="D196" s="1" t="s">
        <v>16</v>
      </c>
      <c r="E196" s="1">
        <v>40220.18</v>
      </c>
      <c r="F196" s="1">
        <v>3783</v>
      </c>
      <c r="G196" s="1">
        <v>8.8999999999999996E-2</v>
      </c>
      <c r="H196" s="1">
        <v>14</v>
      </c>
      <c r="I196" s="1">
        <v>86.6</v>
      </c>
      <c r="J196" s="1">
        <v>3.63</v>
      </c>
      <c r="K196" s="1">
        <v>0</v>
      </c>
      <c r="L196" s="1">
        <v>3.7</v>
      </c>
      <c r="M196" s="1">
        <v>559422.02</v>
      </c>
      <c r="N196" s="1">
        <v>73528.740000000005</v>
      </c>
      <c r="O196">
        <f t="shared" si="18"/>
        <v>0</v>
      </c>
      <c r="P196">
        <f t="shared" si="19"/>
        <v>0</v>
      </c>
      <c r="Q196">
        <f t="shared" si="20"/>
        <v>0</v>
      </c>
      <c r="R196">
        <f t="shared" si="21"/>
        <v>1</v>
      </c>
      <c r="S196">
        <f t="shared" si="22"/>
        <v>0</v>
      </c>
      <c r="T196">
        <f t="shared" si="23"/>
        <v>0</v>
      </c>
    </row>
    <row r="197" spans="1:20">
      <c r="A197" s="1" t="s">
        <v>70</v>
      </c>
      <c r="B197" s="3">
        <v>45748</v>
      </c>
      <c r="C197" s="1" t="s">
        <v>27</v>
      </c>
      <c r="D197" s="1" t="s">
        <v>16</v>
      </c>
      <c r="E197" s="1">
        <v>41657.64</v>
      </c>
      <c r="F197" s="1">
        <v>3135</v>
      </c>
      <c r="G197" s="1">
        <v>0.22900000000000001</v>
      </c>
      <c r="H197" s="1">
        <v>7</v>
      </c>
      <c r="I197" s="1">
        <v>85.4</v>
      </c>
      <c r="J197" s="1">
        <v>13.48</v>
      </c>
      <c r="K197" s="1">
        <v>0</v>
      </c>
      <c r="L197" s="1"/>
      <c r="M197" s="1">
        <v>449465.06</v>
      </c>
      <c r="N197" s="1">
        <v>65694.78</v>
      </c>
      <c r="O197">
        <f t="shared" si="18"/>
        <v>0</v>
      </c>
      <c r="P197">
        <f t="shared" si="19"/>
        <v>0</v>
      </c>
      <c r="Q197">
        <f t="shared" si="20"/>
        <v>0</v>
      </c>
      <c r="R197">
        <f t="shared" si="21"/>
        <v>1</v>
      </c>
      <c r="S197">
        <f t="shared" si="22"/>
        <v>0</v>
      </c>
      <c r="T197">
        <f t="shared" si="23"/>
        <v>0</v>
      </c>
    </row>
    <row r="198" spans="1:20">
      <c r="A198" s="1" t="s">
        <v>71</v>
      </c>
      <c r="B198" s="3">
        <v>45658</v>
      </c>
      <c r="C198" s="1" t="s">
        <v>20</v>
      </c>
      <c r="D198" s="1" t="s">
        <v>16</v>
      </c>
      <c r="E198" s="1">
        <v>71851.45</v>
      </c>
      <c r="F198" s="1">
        <v>4970</v>
      </c>
      <c r="G198" s="1">
        <v>9.8000000000000004E-2</v>
      </c>
      <c r="H198" s="1">
        <v>11</v>
      </c>
      <c r="I198" s="1">
        <v>89.6</v>
      </c>
      <c r="J198" s="1">
        <v>0.2</v>
      </c>
      <c r="K198" s="1">
        <v>0</v>
      </c>
      <c r="L198" s="1">
        <v>4.2</v>
      </c>
      <c r="M198" s="1">
        <v>691447.43</v>
      </c>
      <c r="N198" s="1">
        <v>114077.69</v>
      </c>
      <c r="O198">
        <f t="shared" si="18"/>
        <v>0</v>
      </c>
      <c r="P198">
        <f t="shared" si="19"/>
        <v>1</v>
      </c>
      <c r="Q198">
        <f t="shared" si="20"/>
        <v>0</v>
      </c>
      <c r="R198">
        <f t="shared" si="21"/>
        <v>1</v>
      </c>
      <c r="S198">
        <f t="shared" si="22"/>
        <v>0</v>
      </c>
      <c r="T198">
        <f t="shared" si="23"/>
        <v>0</v>
      </c>
    </row>
    <row r="199" spans="1:20">
      <c r="A199" s="1" t="s">
        <v>71</v>
      </c>
      <c r="B199" s="3">
        <v>45689</v>
      </c>
      <c r="C199" s="1" t="s">
        <v>20</v>
      </c>
      <c r="D199" s="1" t="s">
        <v>16</v>
      </c>
      <c r="E199" s="1">
        <v>54002.83</v>
      </c>
      <c r="F199" s="1">
        <v>4366</v>
      </c>
      <c r="G199" s="1">
        <v>2.7E-2</v>
      </c>
      <c r="H199" s="1">
        <v>15</v>
      </c>
      <c r="I199" s="1">
        <v>90.6</v>
      </c>
      <c r="J199" s="1">
        <v>12.82</v>
      </c>
      <c r="K199" s="1">
        <v>0</v>
      </c>
      <c r="L199" s="1">
        <v>4.5999999999999996</v>
      </c>
      <c r="M199" s="1">
        <v>574066.61</v>
      </c>
      <c r="N199" s="1">
        <v>124674.67</v>
      </c>
      <c r="O199">
        <f t="shared" si="18"/>
        <v>0</v>
      </c>
      <c r="P199">
        <f t="shared" si="19"/>
        <v>1</v>
      </c>
      <c r="Q199">
        <f t="shared" si="20"/>
        <v>0</v>
      </c>
      <c r="R199">
        <f t="shared" si="21"/>
        <v>1</v>
      </c>
      <c r="S199">
        <f t="shared" si="22"/>
        <v>0</v>
      </c>
      <c r="T199">
        <f t="shared" si="23"/>
        <v>0</v>
      </c>
    </row>
    <row r="200" spans="1:20">
      <c r="A200" s="1" t="s">
        <v>71</v>
      </c>
      <c r="B200" s="3">
        <v>45717</v>
      </c>
      <c r="C200" s="1" t="s">
        <v>20</v>
      </c>
      <c r="D200" s="1" t="s">
        <v>16</v>
      </c>
      <c r="E200" s="1">
        <v>54479.33</v>
      </c>
      <c r="F200" s="1">
        <v>5012</v>
      </c>
      <c r="G200" s="1">
        <v>0.28399999999999997</v>
      </c>
      <c r="H200" s="1">
        <v>13</v>
      </c>
      <c r="I200" s="1">
        <v>86</v>
      </c>
      <c r="J200" s="1">
        <v>2.2400000000000002</v>
      </c>
      <c r="K200" s="1">
        <v>1</v>
      </c>
      <c r="L200" s="1">
        <v>4.3</v>
      </c>
      <c r="M200" s="1">
        <v>578949.84</v>
      </c>
      <c r="N200" s="1">
        <v>80253.649999999994</v>
      </c>
      <c r="O200">
        <f t="shared" si="18"/>
        <v>0</v>
      </c>
      <c r="P200">
        <f t="shared" si="19"/>
        <v>1</v>
      </c>
      <c r="Q200">
        <f t="shared" si="20"/>
        <v>0</v>
      </c>
      <c r="R200">
        <f t="shared" si="21"/>
        <v>1</v>
      </c>
      <c r="S200">
        <f t="shared" si="22"/>
        <v>0</v>
      </c>
      <c r="T200">
        <f t="shared" si="23"/>
        <v>0</v>
      </c>
    </row>
    <row r="201" spans="1:20">
      <c r="A201" s="1" t="s">
        <v>71</v>
      </c>
      <c r="B201" s="3">
        <v>45748</v>
      </c>
      <c r="C201" s="1" t="s">
        <v>20</v>
      </c>
      <c r="D201" s="1" t="s">
        <v>16</v>
      </c>
      <c r="E201" s="1">
        <v>61391.8</v>
      </c>
      <c r="F201" s="1">
        <v>5575</v>
      </c>
      <c r="G201" s="1">
        <v>0.189</v>
      </c>
      <c r="H201" s="1">
        <v>18</v>
      </c>
      <c r="I201" s="1">
        <v>90</v>
      </c>
      <c r="J201" s="1">
        <v>1.8</v>
      </c>
      <c r="K201" s="1">
        <v>0</v>
      </c>
      <c r="L201" s="1">
        <v>4.8</v>
      </c>
      <c r="M201" s="1">
        <v>735786.64</v>
      </c>
      <c r="N201" s="1">
        <v>126540.66</v>
      </c>
      <c r="O201">
        <f t="shared" si="18"/>
        <v>0</v>
      </c>
      <c r="P201">
        <f t="shared" si="19"/>
        <v>1</v>
      </c>
      <c r="Q201">
        <f t="shared" si="20"/>
        <v>0</v>
      </c>
      <c r="R201">
        <f t="shared" si="21"/>
        <v>1</v>
      </c>
      <c r="S201">
        <f t="shared" si="22"/>
        <v>0</v>
      </c>
      <c r="T201">
        <f t="shared" si="23"/>
        <v>0</v>
      </c>
    </row>
    <row r="202" spans="1:20">
      <c r="A202" s="1" t="s">
        <v>72</v>
      </c>
      <c r="B202" s="3">
        <v>45658</v>
      </c>
      <c r="C202" s="1" t="s">
        <v>15</v>
      </c>
      <c r="D202" s="1" t="s">
        <v>21</v>
      </c>
      <c r="E202" s="1">
        <v>22312.93</v>
      </c>
      <c r="F202" s="1">
        <v>5955</v>
      </c>
      <c r="G202" s="1">
        <v>0.123</v>
      </c>
      <c r="H202" s="1">
        <v>13</v>
      </c>
      <c r="I202" s="1">
        <v>84.2</v>
      </c>
      <c r="J202" s="1">
        <v>0.41</v>
      </c>
      <c r="K202" s="1">
        <v>1</v>
      </c>
      <c r="L202" s="1">
        <v>4.5999999999999996</v>
      </c>
      <c r="M202" s="1">
        <v>598904.9</v>
      </c>
      <c r="N202" s="1">
        <v>72861</v>
      </c>
      <c r="O202">
        <f t="shared" si="18"/>
        <v>1</v>
      </c>
      <c r="P202">
        <f t="shared" si="19"/>
        <v>0</v>
      </c>
      <c r="Q202">
        <f t="shared" si="20"/>
        <v>0</v>
      </c>
      <c r="R202">
        <f t="shared" si="21"/>
        <v>0</v>
      </c>
      <c r="S202">
        <f t="shared" si="22"/>
        <v>0</v>
      </c>
      <c r="T202">
        <f t="shared" si="23"/>
        <v>1</v>
      </c>
    </row>
    <row r="203" spans="1:20">
      <c r="A203" s="1" t="s">
        <v>72</v>
      </c>
      <c r="B203" s="3">
        <v>45689</v>
      </c>
      <c r="C203" s="1" t="s">
        <v>15</v>
      </c>
      <c r="D203" s="1" t="s">
        <v>21</v>
      </c>
      <c r="E203" s="1">
        <v>78111.97</v>
      </c>
      <c r="F203" s="1">
        <v>6389</v>
      </c>
      <c r="G203" s="1">
        <v>0.15</v>
      </c>
      <c r="H203" s="1">
        <v>13</v>
      </c>
      <c r="I203" s="1">
        <v>83.9</v>
      </c>
      <c r="J203" s="1">
        <v>3.05</v>
      </c>
      <c r="K203" s="1">
        <v>0</v>
      </c>
      <c r="L203" s="1">
        <v>4.8</v>
      </c>
      <c r="M203" s="1">
        <v>787715.51</v>
      </c>
      <c r="N203" s="1">
        <v>128969.62</v>
      </c>
      <c r="O203">
        <f t="shared" si="18"/>
        <v>1</v>
      </c>
      <c r="P203">
        <f t="shared" si="19"/>
        <v>0</v>
      </c>
      <c r="Q203">
        <f t="shared" si="20"/>
        <v>0</v>
      </c>
      <c r="R203">
        <f t="shared" si="21"/>
        <v>0</v>
      </c>
      <c r="S203">
        <f t="shared" si="22"/>
        <v>0</v>
      </c>
      <c r="T203">
        <f t="shared" si="23"/>
        <v>1</v>
      </c>
    </row>
    <row r="204" spans="1:20">
      <c r="A204" s="1" t="s">
        <v>72</v>
      </c>
      <c r="B204" s="3">
        <v>45717</v>
      </c>
      <c r="C204" s="1" t="s">
        <v>15</v>
      </c>
      <c r="D204" s="1" t="s">
        <v>21</v>
      </c>
      <c r="E204" s="1">
        <v>35203.230000000003</v>
      </c>
      <c r="F204" s="1">
        <v>6896</v>
      </c>
      <c r="G204" s="1">
        <v>3.2000000000000001E-2</v>
      </c>
      <c r="H204" s="1">
        <v>14</v>
      </c>
      <c r="I204" s="1">
        <v>80.8</v>
      </c>
      <c r="J204" s="1">
        <v>8.44</v>
      </c>
      <c r="K204" s="1">
        <v>1</v>
      </c>
      <c r="L204" s="1">
        <v>5</v>
      </c>
      <c r="M204" s="1">
        <v>607084.92000000004</v>
      </c>
      <c r="N204" s="1">
        <v>98558.49</v>
      </c>
      <c r="O204">
        <f t="shared" si="18"/>
        <v>1</v>
      </c>
      <c r="P204">
        <f t="shared" si="19"/>
        <v>0</v>
      </c>
      <c r="Q204">
        <f t="shared" si="20"/>
        <v>0</v>
      </c>
      <c r="R204">
        <f t="shared" si="21"/>
        <v>0</v>
      </c>
      <c r="S204">
        <f t="shared" si="22"/>
        <v>0</v>
      </c>
      <c r="T204">
        <f t="shared" si="23"/>
        <v>1</v>
      </c>
    </row>
    <row r="205" spans="1:20">
      <c r="A205" s="1" t="s">
        <v>72</v>
      </c>
      <c r="B205" s="3">
        <v>45748</v>
      </c>
      <c r="C205" s="1" t="s">
        <v>15</v>
      </c>
      <c r="D205" s="1" t="s">
        <v>21</v>
      </c>
      <c r="E205" s="1">
        <v>64104.28</v>
      </c>
      <c r="F205" s="1">
        <v>6015</v>
      </c>
      <c r="G205" s="1">
        <v>0.127</v>
      </c>
      <c r="H205" s="1">
        <v>15</v>
      </c>
      <c r="I205" s="1">
        <v>88.7</v>
      </c>
      <c r="J205" s="1">
        <v>0.78</v>
      </c>
      <c r="K205" s="1">
        <v>0</v>
      </c>
      <c r="L205" s="1">
        <v>4</v>
      </c>
      <c r="M205" s="1">
        <v>650795.49</v>
      </c>
      <c r="N205" s="1">
        <v>103035.89</v>
      </c>
      <c r="O205">
        <f t="shared" si="18"/>
        <v>1</v>
      </c>
      <c r="P205">
        <f t="shared" si="19"/>
        <v>0</v>
      </c>
      <c r="Q205">
        <f t="shared" si="20"/>
        <v>0</v>
      </c>
      <c r="R205">
        <f t="shared" si="21"/>
        <v>0</v>
      </c>
      <c r="S205">
        <f t="shared" si="22"/>
        <v>0</v>
      </c>
      <c r="T205">
        <f t="shared" si="23"/>
        <v>1</v>
      </c>
    </row>
    <row r="206" spans="1:20">
      <c r="A206" s="1" t="s">
        <v>73</v>
      </c>
      <c r="B206" s="3">
        <v>45658</v>
      </c>
      <c r="C206" s="1" t="s">
        <v>15</v>
      </c>
      <c r="D206" s="1" t="s">
        <v>28</v>
      </c>
      <c r="E206" s="1">
        <v>92090.14</v>
      </c>
      <c r="F206" s="1">
        <v>9476</v>
      </c>
      <c r="G206" s="1">
        <v>7.0000000000000007E-2</v>
      </c>
      <c r="H206" s="1">
        <v>24</v>
      </c>
      <c r="I206" s="1">
        <v>94.3</v>
      </c>
      <c r="J206" s="1">
        <v>0.87</v>
      </c>
      <c r="K206" s="1">
        <v>0</v>
      </c>
      <c r="L206" s="1">
        <v>3.7</v>
      </c>
      <c r="M206" s="1">
        <v>825060.52</v>
      </c>
      <c r="N206" s="1">
        <v>143613.15</v>
      </c>
      <c r="O206">
        <f t="shared" si="18"/>
        <v>1</v>
      </c>
      <c r="P206">
        <f t="shared" si="19"/>
        <v>0</v>
      </c>
      <c r="Q206">
        <f t="shared" si="20"/>
        <v>0</v>
      </c>
      <c r="R206">
        <f t="shared" si="21"/>
        <v>0</v>
      </c>
      <c r="S206">
        <f t="shared" si="22"/>
        <v>0</v>
      </c>
      <c r="T206">
        <f t="shared" si="23"/>
        <v>0</v>
      </c>
    </row>
    <row r="207" spans="1:20">
      <c r="A207" s="1" t="s">
        <v>73</v>
      </c>
      <c r="B207" s="3">
        <v>45689</v>
      </c>
      <c r="C207" s="1" t="s">
        <v>15</v>
      </c>
      <c r="D207" s="1" t="s">
        <v>28</v>
      </c>
      <c r="E207" s="1">
        <v>54300.87</v>
      </c>
      <c r="F207" s="1">
        <v>7875</v>
      </c>
      <c r="G207" s="1">
        <v>0.107</v>
      </c>
      <c r="H207" s="1">
        <v>19</v>
      </c>
      <c r="I207" s="1">
        <v>94.1</v>
      </c>
      <c r="J207" s="1">
        <v>0.95</v>
      </c>
      <c r="K207" s="1">
        <v>0</v>
      </c>
      <c r="L207" s="1">
        <v>3.7</v>
      </c>
      <c r="M207" s="1">
        <v>795464.47</v>
      </c>
      <c r="N207" s="1">
        <v>161150.51999999999</v>
      </c>
      <c r="O207">
        <f t="shared" si="18"/>
        <v>1</v>
      </c>
      <c r="P207">
        <f t="shared" si="19"/>
        <v>0</v>
      </c>
      <c r="Q207">
        <f t="shared" si="20"/>
        <v>0</v>
      </c>
      <c r="R207">
        <f t="shared" si="21"/>
        <v>0</v>
      </c>
      <c r="S207">
        <f t="shared" si="22"/>
        <v>0</v>
      </c>
      <c r="T207">
        <f t="shared" si="23"/>
        <v>0</v>
      </c>
    </row>
    <row r="208" spans="1:20">
      <c r="A208" s="1" t="s">
        <v>73</v>
      </c>
      <c r="B208" s="3">
        <v>45717</v>
      </c>
      <c r="C208" s="1" t="s">
        <v>15</v>
      </c>
      <c r="D208" s="1" t="s">
        <v>28</v>
      </c>
      <c r="E208" s="1">
        <v>37983.35</v>
      </c>
      <c r="F208" s="1">
        <v>9283</v>
      </c>
      <c r="G208" s="1">
        <v>0.14899999999999999</v>
      </c>
      <c r="H208" s="1">
        <v>19</v>
      </c>
      <c r="I208" s="1">
        <v>83.2</v>
      </c>
      <c r="J208" s="1">
        <v>3.82</v>
      </c>
      <c r="K208" s="1">
        <v>0</v>
      </c>
      <c r="L208" s="1">
        <v>3.7</v>
      </c>
      <c r="M208" s="1">
        <v>671868.59</v>
      </c>
      <c r="N208" s="1">
        <v>71003.28</v>
      </c>
      <c r="O208">
        <f t="shared" si="18"/>
        <v>1</v>
      </c>
      <c r="P208">
        <f t="shared" si="19"/>
        <v>0</v>
      </c>
      <c r="Q208">
        <f t="shared" si="20"/>
        <v>0</v>
      </c>
      <c r="R208">
        <f t="shared" si="21"/>
        <v>0</v>
      </c>
      <c r="S208">
        <f t="shared" si="22"/>
        <v>0</v>
      </c>
      <c r="T208">
        <f t="shared" si="23"/>
        <v>0</v>
      </c>
    </row>
    <row r="209" spans="1:20">
      <c r="A209" s="1" t="s">
        <v>73</v>
      </c>
      <c r="B209" s="3">
        <v>45748</v>
      </c>
      <c r="C209" s="1" t="s">
        <v>15</v>
      </c>
      <c r="D209" s="1" t="s">
        <v>28</v>
      </c>
      <c r="E209" s="1">
        <v>56413.83</v>
      </c>
      <c r="F209" s="1">
        <v>8303</v>
      </c>
      <c r="G209" s="1">
        <v>0.11600000000000001</v>
      </c>
      <c r="H209" s="1">
        <v>18</v>
      </c>
      <c r="I209" s="1">
        <v>93.6</v>
      </c>
      <c r="J209" s="1">
        <v>2.7</v>
      </c>
      <c r="K209" s="1">
        <v>0</v>
      </c>
      <c r="L209" s="1">
        <v>3.7</v>
      </c>
      <c r="M209" s="1">
        <v>675917.63</v>
      </c>
      <c r="N209" s="1">
        <v>112564.75</v>
      </c>
      <c r="O209">
        <f t="shared" si="18"/>
        <v>1</v>
      </c>
      <c r="P209">
        <f t="shared" si="19"/>
        <v>0</v>
      </c>
      <c r="Q209">
        <f t="shared" si="20"/>
        <v>0</v>
      </c>
      <c r="R209">
        <f t="shared" si="21"/>
        <v>0</v>
      </c>
      <c r="S209">
        <f t="shared" si="22"/>
        <v>0</v>
      </c>
      <c r="T209">
        <f t="shared" si="23"/>
        <v>0</v>
      </c>
    </row>
    <row r="210" spans="1:20">
      <c r="A210" s="1" t="s">
        <v>74</v>
      </c>
      <c r="B210" s="3">
        <v>45658</v>
      </c>
      <c r="C210" s="1" t="s">
        <v>15</v>
      </c>
      <c r="D210" s="1" t="s">
        <v>18</v>
      </c>
      <c r="E210" s="1">
        <v>63457.19</v>
      </c>
      <c r="F210" s="1">
        <v>10125</v>
      </c>
      <c r="G210" s="1">
        <v>9.7000000000000003E-2</v>
      </c>
      <c r="H210" s="1">
        <v>24</v>
      </c>
      <c r="I210" s="1">
        <v>87</v>
      </c>
      <c r="J210" s="1">
        <v>3.84</v>
      </c>
      <c r="K210" s="1">
        <v>1</v>
      </c>
      <c r="L210" s="1">
        <v>3.7</v>
      </c>
      <c r="M210" s="1">
        <v>810446.53</v>
      </c>
      <c r="N210" s="1">
        <v>200575.34</v>
      </c>
      <c r="O210">
        <f t="shared" si="18"/>
        <v>1</v>
      </c>
      <c r="P210">
        <f t="shared" si="19"/>
        <v>0</v>
      </c>
      <c r="Q210">
        <f t="shared" si="20"/>
        <v>0</v>
      </c>
      <c r="R210">
        <f t="shared" si="21"/>
        <v>0</v>
      </c>
      <c r="S210">
        <f t="shared" si="22"/>
        <v>1</v>
      </c>
      <c r="T210">
        <f t="shared" si="23"/>
        <v>0</v>
      </c>
    </row>
    <row r="211" spans="1:20">
      <c r="A211" s="1" t="s">
        <v>74</v>
      </c>
      <c r="B211" s="3">
        <v>45689</v>
      </c>
      <c r="C211" s="1" t="s">
        <v>15</v>
      </c>
      <c r="D211" s="1" t="s">
        <v>18</v>
      </c>
      <c r="E211" s="1">
        <v>62949.7</v>
      </c>
      <c r="F211" s="1">
        <v>9458</v>
      </c>
      <c r="G211" s="1">
        <v>0.17100000000000001</v>
      </c>
      <c r="H211" s="1">
        <v>19</v>
      </c>
      <c r="I211" s="1">
        <v>84.9</v>
      </c>
      <c r="J211" s="1">
        <v>5.09</v>
      </c>
      <c r="K211" s="1">
        <v>0</v>
      </c>
      <c r="L211" s="1">
        <v>3.3</v>
      </c>
      <c r="M211" s="1">
        <v>691288.19</v>
      </c>
      <c r="N211" s="1">
        <v>159074.14000000001</v>
      </c>
      <c r="O211">
        <f t="shared" si="18"/>
        <v>1</v>
      </c>
      <c r="P211">
        <f t="shared" si="19"/>
        <v>0</v>
      </c>
      <c r="Q211">
        <f t="shared" si="20"/>
        <v>0</v>
      </c>
      <c r="R211">
        <f t="shared" si="21"/>
        <v>0</v>
      </c>
      <c r="S211">
        <f t="shared" si="22"/>
        <v>1</v>
      </c>
      <c r="T211">
        <f t="shared" si="23"/>
        <v>0</v>
      </c>
    </row>
    <row r="212" spans="1:20">
      <c r="A212" s="1" t="s">
        <v>74</v>
      </c>
      <c r="B212" s="3">
        <v>45717</v>
      </c>
      <c r="C212" s="1" t="s">
        <v>15</v>
      </c>
      <c r="D212" s="1" t="s">
        <v>18</v>
      </c>
      <c r="E212" s="1">
        <v>107970.19</v>
      </c>
      <c r="F212" s="1">
        <v>12870</v>
      </c>
      <c r="G212" s="1">
        <v>2.9000000000000001E-2</v>
      </c>
      <c r="H212" s="1">
        <v>31</v>
      </c>
      <c r="I212" s="1">
        <v>91.7</v>
      </c>
      <c r="J212" s="1">
        <v>3.82</v>
      </c>
      <c r="K212" s="1">
        <v>1</v>
      </c>
      <c r="L212" s="1">
        <v>3.7</v>
      </c>
      <c r="M212" s="1">
        <v>946833.54</v>
      </c>
      <c r="N212" s="1">
        <v>184540.31</v>
      </c>
      <c r="O212">
        <f t="shared" si="18"/>
        <v>1</v>
      </c>
      <c r="P212">
        <f t="shared" si="19"/>
        <v>0</v>
      </c>
      <c r="Q212">
        <f t="shared" si="20"/>
        <v>0</v>
      </c>
      <c r="R212">
        <f t="shared" si="21"/>
        <v>0</v>
      </c>
      <c r="S212">
        <f t="shared" si="22"/>
        <v>1</v>
      </c>
      <c r="T212">
        <f t="shared" si="23"/>
        <v>0</v>
      </c>
    </row>
    <row r="213" spans="1:20">
      <c r="A213" s="1" t="s">
        <v>74</v>
      </c>
      <c r="B213" s="3">
        <v>45748</v>
      </c>
      <c r="C213" s="1" t="s">
        <v>15</v>
      </c>
      <c r="D213" s="1" t="s">
        <v>18</v>
      </c>
      <c r="E213" s="1">
        <v>49405.75</v>
      </c>
      <c r="F213" s="1">
        <v>9752</v>
      </c>
      <c r="G213" s="1">
        <v>9.2999999999999999E-2</v>
      </c>
      <c r="H213" s="1">
        <v>21</v>
      </c>
      <c r="I213" s="1">
        <v>87</v>
      </c>
      <c r="J213" s="1">
        <v>12.28</v>
      </c>
      <c r="K213" s="1">
        <v>0</v>
      </c>
      <c r="L213" s="1">
        <v>4.0999999999999996</v>
      </c>
      <c r="M213" s="1">
        <v>761963.23</v>
      </c>
      <c r="N213" s="1">
        <v>150113.60999999999</v>
      </c>
      <c r="O213">
        <f t="shared" si="18"/>
        <v>1</v>
      </c>
      <c r="P213">
        <f t="shared" si="19"/>
        <v>0</v>
      </c>
      <c r="Q213">
        <f t="shared" si="20"/>
        <v>0</v>
      </c>
      <c r="R213">
        <f t="shared" si="21"/>
        <v>0</v>
      </c>
      <c r="S213">
        <f t="shared" si="22"/>
        <v>1</v>
      </c>
      <c r="T213">
        <f t="shared" si="23"/>
        <v>0</v>
      </c>
    </row>
    <row r="214" spans="1:20">
      <c r="A214" s="1" t="s">
        <v>75</v>
      </c>
      <c r="B214" s="3">
        <v>45658</v>
      </c>
      <c r="C214" s="1" t="s">
        <v>27</v>
      </c>
      <c r="D214" s="1" t="s">
        <v>16</v>
      </c>
      <c r="E214" s="1">
        <v>50887.46</v>
      </c>
      <c r="F214" s="1">
        <v>9505</v>
      </c>
      <c r="G214" s="1">
        <v>9.0999999999999998E-2</v>
      </c>
      <c r="H214" s="1">
        <v>25</v>
      </c>
      <c r="I214" s="1">
        <v>89.7</v>
      </c>
      <c r="J214" s="1">
        <v>2.8</v>
      </c>
      <c r="K214" s="1">
        <v>0</v>
      </c>
      <c r="L214" s="1">
        <v>4.3</v>
      </c>
      <c r="M214" s="1">
        <v>812152.6</v>
      </c>
      <c r="N214" s="1">
        <v>138419.43</v>
      </c>
      <c r="O214">
        <f t="shared" si="18"/>
        <v>0</v>
      </c>
      <c r="P214">
        <f t="shared" si="19"/>
        <v>0</v>
      </c>
      <c r="Q214">
        <f t="shared" si="20"/>
        <v>0</v>
      </c>
      <c r="R214">
        <f t="shared" si="21"/>
        <v>1</v>
      </c>
      <c r="S214">
        <f t="shared" si="22"/>
        <v>0</v>
      </c>
      <c r="T214">
        <f t="shared" si="23"/>
        <v>0</v>
      </c>
    </row>
    <row r="215" spans="1:20">
      <c r="A215" s="1" t="s">
        <v>75</v>
      </c>
      <c r="B215" s="3">
        <v>45689</v>
      </c>
      <c r="C215" s="1" t="s">
        <v>27</v>
      </c>
      <c r="D215" s="1" t="s">
        <v>16</v>
      </c>
      <c r="E215" s="1">
        <v>41819.449999999997</v>
      </c>
      <c r="F215" s="1">
        <v>9412</v>
      </c>
      <c r="G215" s="1">
        <v>0.15</v>
      </c>
      <c r="H215" s="1">
        <v>22</v>
      </c>
      <c r="I215" s="1">
        <v>91</v>
      </c>
      <c r="J215" s="1">
        <v>3.67</v>
      </c>
      <c r="K215" s="1">
        <v>0</v>
      </c>
      <c r="L215" s="1">
        <v>4.2</v>
      </c>
      <c r="M215" s="1">
        <v>804975.5</v>
      </c>
      <c r="N215" s="1">
        <v>140054.5</v>
      </c>
      <c r="O215">
        <f t="shared" si="18"/>
        <v>0</v>
      </c>
      <c r="P215">
        <f t="shared" si="19"/>
        <v>0</v>
      </c>
      <c r="Q215">
        <f t="shared" si="20"/>
        <v>0</v>
      </c>
      <c r="R215">
        <f t="shared" si="21"/>
        <v>1</v>
      </c>
      <c r="S215">
        <f t="shared" si="22"/>
        <v>0</v>
      </c>
      <c r="T215">
        <f t="shared" si="23"/>
        <v>0</v>
      </c>
    </row>
    <row r="216" spans="1:20">
      <c r="A216" s="1" t="s">
        <v>75</v>
      </c>
      <c r="B216" s="3">
        <v>45717</v>
      </c>
      <c r="C216" s="1" t="s">
        <v>27</v>
      </c>
      <c r="D216" s="1" t="s">
        <v>16</v>
      </c>
      <c r="E216" s="1">
        <v>35296.54</v>
      </c>
      <c r="F216" s="1">
        <v>9644</v>
      </c>
      <c r="G216" s="1">
        <v>0</v>
      </c>
      <c r="H216" s="1">
        <v>22</v>
      </c>
      <c r="I216" s="1">
        <v>88</v>
      </c>
      <c r="J216" s="1">
        <v>2.81</v>
      </c>
      <c r="K216" s="1">
        <v>0</v>
      </c>
      <c r="L216" s="1">
        <v>4.7</v>
      </c>
      <c r="M216" s="1">
        <v>752321.72</v>
      </c>
      <c r="N216" s="1">
        <v>137788.51</v>
      </c>
      <c r="O216">
        <f t="shared" si="18"/>
        <v>0</v>
      </c>
      <c r="P216">
        <f t="shared" si="19"/>
        <v>0</v>
      </c>
      <c r="Q216">
        <f t="shared" si="20"/>
        <v>0</v>
      </c>
      <c r="R216">
        <f t="shared" si="21"/>
        <v>1</v>
      </c>
      <c r="S216">
        <f t="shared" si="22"/>
        <v>0</v>
      </c>
      <c r="T216">
        <f t="shared" si="23"/>
        <v>0</v>
      </c>
    </row>
    <row r="217" spans="1:20">
      <c r="A217" s="1" t="s">
        <v>75</v>
      </c>
      <c r="B217" s="3">
        <v>45748</v>
      </c>
      <c r="C217" s="1" t="s">
        <v>27</v>
      </c>
      <c r="D217" s="1" t="s">
        <v>16</v>
      </c>
      <c r="E217" s="1">
        <v>47391.09</v>
      </c>
      <c r="F217" s="1">
        <v>11224</v>
      </c>
      <c r="G217" s="1">
        <v>0.14699999999999999</v>
      </c>
      <c r="H217" s="1">
        <v>25</v>
      </c>
      <c r="I217" s="1">
        <v>88.4</v>
      </c>
      <c r="J217" s="1">
        <v>2.44</v>
      </c>
      <c r="K217" s="1">
        <v>0</v>
      </c>
      <c r="L217" s="1">
        <v>4.9000000000000004</v>
      </c>
      <c r="M217" s="1">
        <v>836908.24</v>
      </c>
      <c r="N217" s="1">
        <v>141090.26</v>
      </c>
      <c r="O217">
        <f t="shared" si="18"/>
        <v>0</v>
      </c>
      <c r="P217">
        <f t="shared" si="19"/>
        <v>0</v>
      </c>
      <c r="Q217">
        <f t="shared" si="20"/>
        <v>0</v>
      </c>
      <c r="R217">
        <f t="shared" si="21"/>
        <v>1</v>
      </c>
      <c r="S217">
        <f t="shared" si="22"/>
        <v>0</v>
      </c>
      <c r="T217">
        <f t="shared" si="23"/>
        <v>0</v>
      </c>
    </row>
    <row r="218" spans="1:20">
      <c r="A218" s="1" t="s">
        <v>76</v>
      </c>
      <c r="B218" s="3">
        <v>45658</v>
      </c>
      <c r="C218" s="1" t="s">
        <v>20</v>
      </c>
      <c r="D218" s="1" t="s">
        <v>21</v>
      </c>
      <c r="E218" s="1">
        <v>69180.539999999994</v>
      </c>
      <c r="F218" s="1">
        <v>5394</v>
      </c>
      <c r="G218" s="1">
        <v>0.126</v>
      </c>
      <c r="H218" s="1">
        <v>12</v>
      </c>
      <c r="I218" s="1">
        <v>82.9</v>
      </c>
      <c r="J218" s="1">
        <v>3.27</v>
      </c>
      <c r="K218" s="1">
        <v>0</v>
      </c>
      <c r="L218" s="1">
        <v>3.3</v>
      </c>
      <c r="M218" s="1">
        <v>674289.1</v>
      </c>
      <c r="N218" s="1">
        <v>117773.79</v>
      </c>
      <c r="O218">
        <f t="shared" si="18"/>
        <v>0</v>
      </c>
      <c r="P218">
        <f t="shared" si="19"/>
        <v>1</v>
      </c>
      <c r="Q218">
        <f t="shared" si="20"/>
        <v>0</v>
      </c>
      <c r="R218">
        <f t="shared" si="21"/>
        <v>0</v>
      </c>
      <c r="S218">
        <f t="shared" si="22"/>
        <v>0</v>
      </c>
      <c r="T218">
        <f t="shared" si="23"/>
        <v>1</v>
      </c>
    </row>
    <row r="219" spans="1:20">
      <c r="A219" s="1" t="s">
        <v>76</v>
      </c>
      <c r="B219" s="3">
        <v>45689</v>
      </c>
      <c r="C219" s="1" t="s">
        <v>20</v>
      </c>
      <c r="D219" s="1" t="s">
        <v>21</v>
      </c>
      <c r="E219" s="1">
        <v>33987.33</v>
      </c>
      <c r="F219" s="1">
        <v>5014</v>
      </c>
      <c r="G219" s="1">
        <v>0.246</v>
      </c>
      <c r="H219" s="1">
        <v>17</v>
      </c>
      <c r="I219" s="1">
        <v>94.3</v>
      </c>
      <c r="J219" s="1">
        <v>10.34</v>
      </c>
      <c r="K219" s="1">
        <v>0</v>
      </c>
      <c r="L219" s="1">
        <v>3.9</v>
      </c>
      <c r="M219" s="1">
        <v>622892.42000000004</v>
      </c>
      <c r="N219" s="1">
        <v>101032.52</v>
      </c>
      <c r="O219">
        <f t="shared" si="18"/>
        <v>0</v>
      </c>
      <c r="P219">
        <f t="shared" si="19"/>
        <v>1</v>
      </c>
      <c r="Q219">
        <f t="shared" si="20"/>
        <v>0</v>
      </c>
      <c r="R219">
        <f t="shared" si="21"/>
        <v>0</v>
      </c>
      <c r="S219">
        <f t="shared" si="22"/>
        <v>0</v>
      </c>
      <c r="T219">
        <f t="shared" si="23"/>
        <v>1</v>
      </c>
    </row>
    <row r="220" spans="1:20">
      <c r="A220" s="1" t="s">
        <v>76</v>
      </c>
      <c r="B220" s="3">
        <v>45717</v>
      </c>
      <c r="C220" s="1" t="s">
        <v>20</v>
      </c>
      <c r="D220" s="1" t="s">
        <v>21</v>
      </c>
      <c r="E220" s="1">
        <v>58785.33</v>
      </c>
      <c r="F220" s="1">
        <v>4467</v>
      </c>
      <c r="G220" s="1">
        <v>0.22900000000000001</v>
      </c>
      <c r="H220" s="1">
        <v>14</v>
      </c>
      <c r="I220" s="1">
        <v>90.7</v>
      </c>
      <c r="J220" s="1">
        <v>1.92</v>
      </c>
      <c r="K220" s="1">
        <v>0</v>
      </c>
      <c r="L220" s="1">
        <v>3.7</v>
      </c>
      <c r="M220" s="1">
        <v>673348.56</v>
      </c>
      <c r="N220" s="1">
        <v>69464.59</v>
      </c>
      <c r="O220">
        <f t="shared" si="18"/>
        <v>0</v>
      </c>
      <c r="P220">
        <f t="shared" si="19"/>
        <v>1</v>
      </c>
      <c r="Q220">
        <f t="shared" si="20"/>
        <v>0</v>
      </c>
      <c r="R220">
        <f t="shared" si="21"/>
        <v>0</v>
      </c>
      <c r="S220">
        <f t="shared" si="22"/>
        <v>0</v>
      </c>
      <c r="T220">
        <f t="shared" si="23"/>
        <v>1</v>
      </c>
    </row>
    <row r="221" spans="1:20">
      <c r="A221" s="1" t="s">
        <v>76</v>
      </c>
      <c r="B221" s="3">
        <v>45748</v>
      </c>
      <c r="C221" s="1" t="s">
        <v>20</v>
      </c>
      <c r="D221" s="1" t="s">
        <v>21</v>
      </c>
      <c r="E221" s="1">
        <v>16451.849999999999</v>
      </c>
      <c r="F221" s="1">
        <v>4678</v>
      </c>
      <c r="G221" s="1">
        <v>0.13300000000000001</v>
      </c>
      <c r="H221" s="1">
        <v>11</v>
      </c>
      <c r="I221" s="1">
        <v>95.9</v>
      </c>
      <c r="J221" s="1">
        <v>3.1</v>
      </c>
      <c r="K221" s="1">
        <v>0</v>
      </c>
      <c r="L221" s="1">
        <v>3.9</v>
      </c>
      <c r="M221" s="1">
        <v>606278.30000000005</v>
      </c>
      <c r="N221" s="1">
        <v>102213.26</v>
      </c>
      <c r="O221">
        <f t="shared" si="18"/>
        <v>0</v>
      </c>
      <c r="P221">
        <f t="shared" si="19"/>
        <v>1</v>
      </c>
      <c r="Q221">
        <f t="shared" si="20"/>
        <v>0</v>
      </c>
      <c r="R221">
        <f t="shared" si="21"/>
        <v>0</v>
      </c>
      <c r="S221">
        <f t="shared" si="22"/>
        <v>0</v>
      </c>
      <c r="T221">
        <f t="shared" si="23"/>
        <v>1</v>
      </c>
    </row>
    <row r="222" spans="1:20">
      <c r="A222" s="1" t="s">
        <v>77</v>
      </c>
      <c r="B222" s="3">
        <v>45658</v>
      </c>
      <c r="C222" s="1" t="s">
        <v>15</v>
      </c>
      <c r="D222" s="1" t="s">
        <v>18</v>
      </c>
      <c r="E222" s="1">
        <v>53367.73</v>
      </c>
      <c r="F222" s="1">
        <v>7291</v>
      </c>
      <c r="G222" s="1">
        <v>0.14599999999999999</v>
      </c>
      <c r="H222" s="1">
        <v>18</v>
      </c>
      <c r="I222" s="1">
        <v>90.6</v>
      </c>
      <c r="J222" s="1">
        <v>6.34</v>
      </c>
      <c r="K222" s="1">
        <v>1</v>
      </c>
      <c r="L222" s="1">
        <v>3.8</v>
      </c>
      <c r="M222" s="1">
        <v>712219.81</v>
      </c>
      <c r="N222" s="1">
        <v>85906.54</v>
      </c>
      <c r="O222">
        <f t="shared" si="18"/>
        <v>1</v>
      </c>
      <c r="P222">
        <f t="shared" si="19"/>
        <v>0</v>
      </c>
      <c r="Q222">
        <f t="shared" si="20"/>
        <v>0</v>
      </c>
      <c r="R222">
        <f t="shared" si="21"/>
        <v>0</v>
      </c>
      <c r="S222">
        <f t="shared" si="22"/>
        <v>1</v>
      </c>
      <c r="T222">
        <f t="shared" si="23"/>
        <v>0</v>
      </c>
    </row>
    <row r="223" spans="1:20">
      <c r="A223" s="1" t="s">
        <v>77</v>
      </c>
      <c r="B223" s="3">
        <v>45689</v>
      </c>
      <c r="C223" s="1" t="s">
        <v>15</v>
      </c>
      <c r="D223" s="1" t="s">
        <v>18</v>
      </c>
      <c r="E223" s="1">
        <v>27194.639999999999</v>
      </c>
      <c r="F223" s="1">
        <v>7404</v>
      </c>
      <c r="G223" s="1">
        <v>8.7999999999999995E-2</v>
      </c>
      <c r="H223" s="1">
        <v>18</v>
      </c>
      <c r="I223" s="1">
        <v>90.2</v>
      </c>
      <c r="J223" s="1">
        <v>1.2</v>
      </c>
      <c r="K223" s="1">
        <v>0</v>
      </c>
      <c r="L223" s="1">
        <v>3.4</v>
      </c>
      <c r="M223" s="1">
        <v>672670.54</v>
      </c>
      <c r="N223" s="1">
        <v>132684.18</v>
      </c>
      <c r="O223">
        <f t="shared" si="18"/>
        <v>1</v>
      </c>
      <c r="P223">
        <f t="shared" si="19"/>
        <v>0</v>
      </c>
      <c r="Q223">
        <f t="shared" si="20"/>
        <v>0</v>
      </c>
      <c r="R223">
        <f t="shared" si="21"/>
        <v>0</v>
      </c>
      <c r="S223">
        <f t="shared" si="22"/>
        <v>1</v>
      </c>
      <c r="T223">
        <f t="shared" si="23"/>
        <v>0</v>
      </c>
    </row>
    <row r="224" spans="1:20">
      <c r="A224" s="1" t="s">
        <v>77</v>
      </c>
      <c r="B224" s="3">
        <v>45717</v>
      </c>
      <c r="C224" s="1" t="s">
        <v>15</v>
      </c>
      <c r="D224" s="1" t="s">
        <v>18</v>
      </c>
      <c r="E224" s="1">
        <v>66962.740000000005</v>
      </c>
      <c r="F224" s="1">
        <v>7880</v>
      </c>
      <c r="G224" s="1">
        <v>0.11600000000000001</v>
      </c>
      <c r="H224" s="1">
        <v>19</v>
      </c>
      <c r="I224" s="1">
        <v>90.4</v>
      </c>
      <c r="J224" s="1">
        <v>4.5</v>
      </c>
      <c r="K224" s="1">
        <v>0</v>
      </c>
      <c r="L224" s="1">
        <v>3.3</v>
      </c>
      <c r="M224" s="1">
        <v>732667.92</v>
      </c>
      <c r="N224" s="1">
        <v>128654.46</v>
      </c>
      <c r="O224">
        <f t="shared" si="18"/>
        <v>1</v>
      </c>
      <c r="P224">
        <f t="shared" si="19"/>
        <v>0</v>
      </c>
      <c r="Q224">
        <f t="shared" si="20"/>
        <v>0</v>
      </c>
      <c r="R224">
        <f t="shared" si="21"/>
        <v>0</v>
      </c>
      <c r="S224">
        <f t="shared" si="22"/>
        <v>1</v>
      </c>
      <c r="T224">
        <f t="shared" si="23"/>
        <v>0</v>
      </c>
    </row>
    <row r="225" spans="1:20">
      <c r="A225" s="1" t="s">
        <v>77</v>
      </c>
      <c r="B225" s="3">
        <v>45748</v>
      </c>
      <c r="C225" s="1" t="s">
        <v>15</v>
      </c>
      <c r="D225" s="1" t="s">
        <v>18</v>
      </c>
      <c r="E225" s="1">
        <v>73540.990000000005</v>
      </c>
      <c r="F225" s="1">
        <v>8773</v>
      </c>
      <c r="G225" s="1">
        <v>3.5000000000000003E-2</v>
      </c>
      <c r="H225" s="1">
        <v>21</v>
      </c>
      <c r="I225" s="1">
        <v>84.4</v>
      </c>
      <c r="J225" s="1">
        <v>6.68</v>
      </c>
      <c r="K225" s="1">
        <v>0</v>
      </c>
      <c r="L225" s="1">
        <v>3.6</v>
      </c>
      <c r="M225" s="1">
        <v>723531.4</v>
      </c>
      <c r="N225" s="1">
        <v>108794.85</v>
      </c>
      <c r="O225">
        <f t="shared" si="18"/>
        <v>1</v>
      </c>
      <c r="P225">
        <f t="shared" si="19"/>
        <v>0</v>
      </c>
      <c r="Q225">
        <f t="shared" si="20"/>
        <v>0</v>
      </c>
      <c r="R225">
        <f t="shared" si="21"/>
        <v>0</v>
      </c>
      <c r="S225">
        <f t="shared" si="22"/>
        <v>1</v>
      </c>
      <c r="T225">
        <f t="shared" si="23"/>
        <v>0</v>
      </c>
    </row>
    <row r="226" spans="1:20">
      <c r="A226" s="1" t="s">
        <v>78</v>
      </c>
      <c r="B226" s="3">
        <v>45658</v>
      </c>
      <c r="C226" s="1" t="s">
        <v>15</v>
      </c>
      <c r="D226" s="1" t="s">
        <v>28</v>
      </c>
      <c r="E226" s="1">
        <v>68212.289999999994</v>
      </c>
      <c r="F226" s="1">
        <v>4713</v>
      </c>
      <c r="G226" s="1">
        <v>0.19800000000000001</v>
      </c>
      <c r="H226" s="1">
        <v>15</v>
      </c>
      <c r="I226" s="1">
        <v>82.6</v>
      </c>
      <c r="J226" s="1">
        <v>4.07</v>
      </c>
      <c r="K226" s="1">
        <v>1</v>
      </c>
      <c r="L226" s="1">
        <v>3</v>
      </c>
      <c r="M226" s="1">
        <v>641564.6</v>
      </c>
      <c r="N226" s="1">
        <v>90468.96</v>
      </c>
      <c r="O226">
        <f t="shared" si="18"/>
        <v>1</v>
      </c>
      <c r="P226">
        <f t="shared" si="19"/>
        <v>0</v>
      </c>
      <c r="Q226">
        <f t="shared" si="20"/>
        <v>0</v>
      </c>
      <c r="R226">
        <f t="shared" si="21"/>
        <v>0</v>
      </c>
      <c r="S226">
        <f t="shared" si="22"/>
        <v>0</v>
      </c>
      <c r="T226">
        <f t="shared" si="23"/>
        <v>0</v>
      </c>
    </row>
    <row r="227" spans="1:20">
      <c r="A227" s="1" t="s">
        <v>78</v>
      </c>
      <c r="B227" s="3">
        <v>45689</v>
      </c>
      <c r="C227" s="1" t="s">
        <v>15</v>
      </c>
      <c r="D227" s="1" t="s">
        <v>28</v>
      </c>
      <c r="E227" s="1">
        <v>57225.98</v>
      </c>
      <c r="F227" s="1">
        <v>2842</v>
      </c>
      <c r="G227" s="1">
        <v>0.112</v>
      </c>
      <c r="H227" s="1">
        <v>10</v>
      </c>
      <c r="I227" s="1">
        <v>79.5</v>
      </c>
      <c r="J227" s="1">
        <v>5.45</v>
      </c>
      <c r="K227" s="1">
        <v>0</v>
      </c>
      <c r="L227" s="1">
        <v>3.4</v>
      </c>
      <c r="M227" s="1">
        <v>536545.49</v>
      </c>
      <c r="N227" s="1">
        <v>97917.45</v>
      </c>
      <c r="O227">
        <f t="shared" si="18"/>
        <v>1</v>
      </c>
      <c r="P227">
        <f t="shared" si="19"/>
        <v>0</v>
      </c>
      <c r="Q227">
        <f t="shared" si="20"/>
        <v>0</v>
      </c>
      <c r="R227">
        <f t="shared" si="21"/>
        <v>0</v>
      </c>
      <c r="S227">
        <f t="shared" si="22"/>
        <v>0</v>
      </c>
      <c r="T227">
        <f t="shared" si="23"/>
        <v>0</v>
      </c>
    </row>
    <row r="228" spans="1:20">
      <c r="A228" s="1" t="s">
        <v>78</v>
      </c>
      <c r="B228" s="3">
        <v>45717</v>
      </c>
      <c r="C228" s="1" t="s">
        <v>15</v>
      </c>
      <c r="D228" s="1" t="s">
        <v>28</v>
      </c>
      <c r="E228" s="1">
        <v>42932.02</v>
      </c>
      <c r="F228" s="1">
        <v>3872</v>
      </c>
      <c r="G228" s="1">
        <v>0.17100000000000001</v>
      </c>
      <c r="H228" s="1">
        <v>12</v>
      </c>
      <c r="I228" s="1">
        <v>83.2</v>
      </c>
      <c r="J228" s="1">
        <v>15.58</v>
      </c>
      <c r="K228" s="1">
        <v>0</v>
      </c>
      <c r="L228" s="1">
        <v>3.3</v>
      </c>
      <c r="M228" s="1">
        <v>527681.56000000006</v>
      </c>
      <c r="N228" s="1">
        <v>63153.05</v>
      </c>
      <c r="O228">
        <f t="shared" si="18"/>
        <v>1</v>
      </c>
      <c r="P228">
        <f t="shared" si="19"/>
        <v>0</v>
      </c>
      <c r="Q228">
        <f t="shared" si="20"/>
        <v>0</v>
      </c>
      <c r="R228">
        <f t="shared" si="21"/>
        <v>0</v>
      </c>
      <c r="S228">
        <f t="shared" si="22"/>
        <v>0</v>
      </c>
      <c r="T228">
        <f t="shared" si="23"/>
        <v>0</v>
      </c>
    </row>
    <row r="229" spans="1:20">
      <c r="A229" s="1" t="s">
        <v>78</v>
      </c>
      <c r="B229" s="3">
        <v>45748</v>
      </c>
      <c r="C229" s="1" t="s">
        <v>15</v>
      </c>
      <c r="D229" s="1" t="s">
        <v>28</v>
      </c>
      <c r="E229" s="1">
        <v>39341.449999999997</v>
      </c>
      <c r="F229" s="1">
        <v>1375</v>
      </c>
      <c r="G229" s="1">
        <v>9.2999999999999999E-2</v>
      </c>
      <c r="H229" s="1">
        <v>5</v>
      </c>
      <c r="I229" s="1">
        <v>95</v>
      </c>
      <c r="J229" s="1">
        <v>5.32</v>
      </c>
      <c r="K229" s="1">
        <v>0</v>
      </c>
      <c r="L229" s="1"/>
      <c r="M229" s="1">
        <v>529598.93999999994</v>
      </c>
      <c r="N229" s="1">
        <v>84334.33</v>
      </c>
      <c r="O229">
        <f t="shared" si="18"/>
        <v>1</v>
      </c>
      <c r="P229">
        <f t="shared" si="19"/>
        <v>0</v>
      </c>
      <c r="Q229">
        <f t="shared" si="20"/>
        <v>0</v>
      </c>
      <c r="R229">
        <f t="shared" si="21"/>
        <v>0</v>
      </c>
      <c r="S229">
        <f t="shared" si="22"/>
        <v>0</v>
      </c>
      <c r="T229">
        <f t="shared" si="23"/>
        <v>0</v>
      </c>
    </row>
    <row r="230" spans="1:20">
      <c r="A230" s="1" t="s">
        <v>79</v>
      </c>
      <c r="B230" s="3">
        <v>45658</v>
      </c>
      <c r="C230" s="1" t="s">
        <v>15</v>
      </c>
      <c r="D230" s="1" t="s">
        <v>18</v>
      </c>
      <c r="E230" s="1">
        <v>37324.230000000003</v>
      </c>
      <c r="F230" s="1">
        <v>5957</v>
      </c>
      <c r="G230" s="1">
        <v>7.0999999999999994E-2</v>
      </c>
      <c r="H230" s="1">
        <v>12</v>
      </c>
      <c r="I230" s="1">
        <v>85.9</v>
      </c>
      <c r="J230" s="1">
        <v>0.37</v>
      </c>
      <c r="K230" s="1">
        <v>0</v>
      </c>
      <c r="L230" s="1">
        <v>3.8</v>
      </c>
      <c r="M230" s="1">
        <v>570963.31000000006</v>
      </c>
      <c r="N230" s="1">
        <v>87342.25</v>
      </c>
      <c r="O230">
        <f t="shared" si="18"/>
        <v>1</v>
      </c>
      <c r="P230">
        <f t="shared" si="19"/>
        <v>0</v>
      </c>
      <c r="Q230">
        <f t="shared" si="20"/>
        <v>0</v>
      </c>
      <c r="R230">
        <f t="shared" si="21"/>
        <v>0</v>
      </c>
      <c r="S230">
        <f t="shared" si="22"/>
        <v>1</v>
      </c>
      <c r="T230">
        <f t="shared" si="23"/>
        <v>0</v>
      </c>
    </row>
    <row r="231" spans="1:20">
      <c r="A231" s="1" t="s">
        <v>79</v>
      </c>
      <c r="B231" s="3">
        <v>45689</v>
      </c>
      <c r="C231" s="1" t="s">
        <v>15</v>
      </c>
      <c r="D231" s="1" t="s">
        <v>18</v>
      </c>
      <c r="E231" s="1">
        <v>113736</v>
      </c>
      <c r="F231" s="1">
        <v>8961</v>
      </c>
      <c r="G231" s="1">
        <v>0.20200000000000001</v>
      </c>
      <c r="H231" s="1">
        <v>24</v>
      </c>
      <c r="I231" s="1">
        <v>86.2</v>
      </c>
      <c r="J231" s="1">
        <v>21.63</v>
      </c>
      <c r="K231" s="1">
        <v>0</v>
      </c>
      <c r="L231" s="1">
        <v>4</v>
      </c>
      <c r="M231" s="1">
        <v>870937.4</v>
      </c>
      <c r="N231" s="1">
        <v>175282.74</v>
      </c>
      <c r="O231">
        <f t="shared" si="18"/>
        <v>1</v>
      </c>
      <c r="P231">
        <f t="shared" si="19"/>
        <v>0</v>
      </c>
      <c r="Q231">
        <f t="shared" si="20"/>
        <v>0</v>
      </c>
      <c r="R231">
        <f t="shared" si="21"/>
        <v>0</v>
      </c>
      <c r="S231">
        <f t="shared" si="22"/>
        <v>1</v>
      </c>
      <c r="T231">
        <f t="shared" si="23"/>
        <v>0</v>
      </c>
    </row>
    <row r="232" spans="1:20">
      <c r="A232" s="1" t="s">
        <v>79</v>
      </c>
      <c r="B232" s="3">
        <v>45717</v>
      </c>
      <c r="C232" s="1" t="s">
        <v>15</v>
      </c>
      <c r="D232" s="1" t="s">
        <v>18</v>
      </c>
      <c r="E232" s="1">
        <v>33173.949999999997</v>
      </c>
      <c r="F232" s="1">
        <v>6545</v>
      </c>
      <c r="G232" s="1">
        <v>0.16900000000000001</v>
      </c>
      <c r="H232" s="1">
        <v>15</v>
      </c>
      <c r="I232" s="1">
        <v>84.4</v>
      </c>
      <c r="J232" s="1">
        <v>2.48</v>
      </c>
      <c r="K232" s="1">
        <v>0</v>
      </c>
      <c r="L232" s="1">
        <v>3.9</v>
      </c>
      <c r="M232" s="1">
        <v>596969.27</v>
      </c>
      <c r="N232" s="1">
        <v>105669.51</v>
      </c>
      <c r="O232">
        <f t="shared" si="18"/>
        <v>1</v>
      </c>
      <c r="P232">
        <f t="shared" si="19"/>
        <v>0</v>
      </c>
      <c r="Q232">
        <f t="shared" si="20"/>
        <v>0</v>
      </c>
      <c r="R232">
        <f t="shared" si="21"/>
        <v>0</v>
      </c>
      <c r="S232">
        <f t="shared" si="22"/>
        <v>1</v>
      </c>
      <c r="T232">
        <f t="shared" si="23"/>
        <v>0</v>
      </c>
    </row>
    <row r="233" spans="1:20">
      <c r="A233" s="1" t="s">
        <v>79</v>
      </c>
      <c r="B233" s="3">
        <v>45748</v>
      </c>
      <c r="C233" s="1" t="s">
        <v>15</v>
      </c>
      <c r="D233" s="1" t="s">
        <v>18</v>
      </c>
      <c r="E233" s="1">
        <v>25818.080000000002</v>
      </c>
      <c r="F233" s="1">
        <v>5457</v>
      </c>
      <c r="G233" s="1">
        <v>0</v>
      </c>
      <c r="H233" s="1">
        <v>11</v>
      </c>
      <c r="I233" s="1">
        <v>95.4</v>
      </c>
      <c r="J233" s="1"/>
      <c r="K233" s="1">
        <v>0</v>
      </c>
      <c r="L233" s="1">
        <v>3.7</v>
      </c>
      <c r="M233" s="1">
        <v>647512.85</v>
      </c>
      <c r="N233" s="1">
        <v>153835.57</v>
      </c>
      <c r="O233">
        <f t="shared" si="18"/>
        <v>1</v>
      </c>
      <c r="P233">
        <f t="shared" si="19"/>
        <v>0</v>
      </c>
      <c r="Q233">
        <f t="shared" si="20"/>
        <v>0</v>
      </c>
      <c r="R233">
        <f t="shared" si="21"/>
        <v>0</v>
      </c>
      <c r="S233">
        <f t="shared" si="22"/>
        <v>1</v>
      </c>
      <c r="T233">
        <f t="shared" si="23"/>
        <v>0</v>
      </c>
    </row>
    <row r="234" spans="1:20">
      <c r="A234" s="1" t="s">
        <v>80</v>
      </c>
      <c r="B234" s="3">
        <v>45658</v>
      </c>
      <c r="C234" s="1" t="s">
        <v>27</v>
      </c>
      <c r="D234" s="1" t="s">
        <v>16</v>
      </c>
      <c r="E234" s="1">
        <v>47241.919999999998</v>
      </c>
      <c r="F234" s="1">
        <v>4264</v>
      </c>
      <c r="G234" s="1">
        <v>6.9000000000000006E-2</v>
      </c>
      <c r="H234" s="1">
        <v>13</v>
      </c>
      <c r="I234" s="1">
        <v>95.3</v>
      </c>
      <c r="J234" s="1">
        <v>0.85</v>
      </c>
      <c r="K234" s="1">
        <v>0</v>
      </c>
      <c r="L234" s="1">
        <v>4.3</v>
      </c>
      <c r="M234" s="1">
        <v>658072.14</v>
      </c>
      <c r="N234" s="1">
        <v>110595.89</v>
      </c>
      <c r="O234">
        <f t="shared" si="18"/>
        <v>0</v>
      </c>
      <c r="P234">
        <f t="shared" si="19"/>
        <v>0</v>
      </c>
      <c r="Q234">
        <f t="shared" si="20"/>
        <v>0</v>
      </c>
      <c r="R234">
        <f t="shared" si="21"/>
        <v>1</v>
      </c>
      <c r="S234">
        <f t="shared" si="22"/>
        <v>0</v>
      </c>
      <c r="T234">
        <f t="shared" si="23"/>
        <v>0</v>
      </c>
    </row>
    <row r="235" spans="1:20">
      <c r="A235" s="1" t="s">
        <v>80</v>
      </c>
      <c r="B235" s="3">
        <v>45689</v>
      </c>
      <c r="C235" s="1" t="s">
        <v>27</v>
      </c>
      <c r="D235" s="1" t="s">
        <v>16</v>
      </c>
      <c r="E235" s="1">
        <v>61650.79</v>
      </c>
      <c r="F235" s="1">
        <v>5321</v>
      </c>
      <c r="G235" s="1">
        <v>0.126</v>
      </c>
      <c r="H235" s="1">
        <v>17</v>
      </c>
      <c r="I235" s="1">
        <v>89.2</v>
      </c>
      <c r="J235" s="1">
        <v>2.13</v>
      </c>
      <c r="K235" s="1">
        <v>0</v>
      </c>
      <c r="L235" s="1">
        <v>4</v>
      </c>
      <c r="M235" s="1">
        <v>723305.11</v>
      </c>
      <c r="N235" s="1">
        <v>128468.7</v>
      </c>
      <c r="O235">
        <f t="shared" si="18"/>
        <v>0</v>
      </c>
      <c r="P235">
        <f t="shared" si="19"/>
        <v>0</v>
      </c>
      <c r="Q235">
        <f t="shared" si="20"/>
        <v>0</v>
      </c>
      <c r="R235">
        <f t="shared" si="21"/>
        <v>1</v>
      </c>
      <c r="S235">
        <f t="shared" si="22"/>
        <v>0</v>
      </c>
      <c r="T235">
        <f t="shared" si="23"/>
        <v>0</v>
      </c>
    </row>
    <row r="236" spans="1:20">
      <c r="A236" s="1" t="s">
        <v>80</v>
      </c>
      <c r="B236" s="3">
        <v>45717</v>
      </c>
      <c r="C236" s="1" t="s">
        <v>27</v>
      </c>
      <c r="D236" s="1" t="s">
        <v>16</v>
      </c>
      <c r="E236" s="1">
        <v>62582.71</v>
      </c>
      <c r="F236" s="1">
        <v>5479</v>
      </c>
      <c r="G236" s="1">
        <v>4.8000000000000001E-2</v>
      </c>
      <c r="H236" s="1">
        <v>16</v>
      </c>
      <c r="I236" s="1">
        <v>81.2</v>
      </c>
      <c r="J236" s="1">
        <v>1.46</v>
      </c>
      <c r="K236" s="1">
        <v>0</v>
      </c>
      <c r="L236" s="1">
        <v>4.5</v>
      </c>
      <c r="M236" s="1">
        <v>640666.53</v>
      </c>
      <c r="N236" s="1">
        <v>134919.16</v>
      </c>
      <c r="O236">
        <f t="shared" si="18"/>
        <v>0</v>
      </c>
      <c r="P236">
        <f t="shared" si="19"/>
        <v>0</v>
      </c>
      <c r="Q236">
        <f t="shared" si="20"/>
        <v>0</v>
      </c>
      <c r="R236">
        <f t="shared" si="21"/>
        <v>1</v>
      </c>
      <c r="S236">
        <f t="shared" si="22"/>
        <v>0</v>
      </c>
      <c r="T236">
        <f t="shared" si="23"/>
        <v>0</v>
      </c>
    </row>
    <row r="237" spans="1:20">
      <c r="A237" s="1" t="s">
        <v>80</v>
      </c>
      <c r="B237" s="3">
        <v>45748</v>
      </c>
      <c r="C237" s="1" t="s">
        <v>27</v>
      </c>
      <c r="D237" s="1" t="s">
        <v>16</v>
      </c>
      <c r="E237" s="1">
        <v>47944.14</v>
      </c>
      <c r="F237" s="1">
        <v>6169</v>
      </c>
      <c r="G237" s="1">
        <v>0.11899999999999999</v>
      </c>
      <c r="H237" s="1">
        <v>17</v>
      </c>
      <c r="I237" s="1">
        <v>92.2</v>
      </c>
      <c r="J237" s="1">
        <v>3.02</v>
      </c>
      <c r="K237" s="1">
        <v>0</v>
      </c>
      <c r="L237" s="1">
        <v>4.0999999999999996</v>
      </c>
      <c r="M237" s="1">
        <v>670629.48</v>
      </c>
      <c r="N237" s="1">
        <v>100140.8</v>
      </c>
      <c r="O237">
        <f t="shared" si="18"/>
        <v>0</v>
      </c>
      <c r="P237">
        <f t="shared" si="19"/>
        <v>0</v>
      </c>
      <c r="Q237">
        <f t="shared" si="20"/>
        <v>0</v>
      </c>
      <c r="R237">
        <f t="shared" si="21"/>
        <v>1</v>
      </c>
      <c r="S237">
        <f t="shared" si="22"/>
        <v>0</v>
      </c>
      <c r="T237">
        <f t="shared" si="23"/>
        <v>0</v>
      </c>
    </row>
    <row r="238" spans="1:20">
      <c r="A238" s="1" t="s">
        <v>81</v>
      </c>
      <c r="B238" s="3">
        <v>45658</v>
      </c>
      <c r="C238" s="1" t="s">
        <v>27</v>
      </c>
      <c r="D238" s="1" t="s">
        <v>28</v>
      </c>
      <c r="E238" s="1">
        <v>46495.4</v>
      </c>
      <c r="F238" s="1">
        <v>9908</v>
      </c>
      <c r="G238" s="1">
        <v>0.121</v>
      </c>
      <c r="H238" s="1">
        <v>22</v>
      </c>
      <c r="I238" s="1">
        <v>89.4</v>
      </c>
      <c r="J238" s="1">
        <v>3.22</v>
      </c>
      <c r="K238" s="1">
        <v>0</v>
      </c>
      <c r="L238" s="1">
        <v>3.7</v>
      </c>
      <c r="M238" s="1">
        <v>721079.35</v>
      </c>
      <c r="N238" s="1">
        <v>115295.05</v>
      </c>
      <c r="O238">
        <f t="shared" si="18"/>
        <v>0</v>
      </c>
      <c r="P238">
        <f t="shared" si="19"/>
        <v>0</v>
      </c>
      <c r="Q238">
        <f t="shared" si="20"/>
        <v>0</v>
      </c>
      <c r="R238">
        <f t="shared" si="21"/>
        <v>0</v>
      </c>
      <c r="S238">
        <f t="shared" si="22"/>
        <v>0</v>
      </c>
      <c r="T238">
        <f t="shared" si="23"/>
        <v>0</v>
      </c>
    </row>
    <row r="239" spans="1:20">
      <c r="A239" s="1" t="s">
        <v>81</v>
      </c>
      <c r="B239" s="3">
        <v>45689</v>
      </c>
      <c r="C239" s="1" t="s">
        <v>27</v>
      </c>
      <c r="D239" s="1" t="s">
        <v>28</v>
      </c>
      <c r="E239" s="1">
        <v>72961.95</v>
      </c>
      <c r="F239" s="1">
        <v>9996</v>
      </c>
      <c r="G239" s="1">
        <v>0.106</v>
      </c>
      <c r="H239" s="1">
        <v>22</v>
      </c>
      <c r="I239" s="1">
        <v>89.1</v>
      </c>
      <c r="J239" s="1">
        <v>15.66</v>
      </c>
      <c r="K239" s="1">
        <v>0</v>
      </c>
      <c r="L239" s="1">
        <v>3.4</v>
      </c>
      <c r="M239" s="1">
        <v>810355.02</v>
      </c>
      <c r="N239" s="1">
        <v>131510</v>
      </c>
      <c r="O239">
        <f t="shared" si="18"/>
        <v>0</v>
      </c>
      <c r="P239">
        <f t="shared" si="19"/>
        <v>0</v>
      </c>
      <c r="Q239">
        <f t="shared" si="20"/>
        <v>0</v>
      </c>
      <c r="R239">
        <f t="shared" si="21"/>
        <v>0</v>
      </c>
      <c r="S239">
        <f t="shared" si="22"/>
        <v>0</v>
      </c>
      <c r="T239">
        <f t="shared" si="23"/>
        <v>0</v>
      </c>
    </row>
    <row r="240" spans="1:20">
      <c r="A240" s="1" t="s">
        <v>81</v>
      </c>
      <c r="B240" s="3">
        <v>45717</v>
      </c>
      <c r="C240" s="1" t="s">
        <v>27</v>
      </c>
      <c r="D240" s="1" t="s">
        <v>28</v>
      </c>
      <c r="E240" s="1">
        <v>59060.05</v>
      </c>
      <c r="F240" s="1">
        <v>9702</v>
      </c>
      <c r="G240" s="1">
        <v>0.20100000000000001</v>
      </c>
      <c r="H240" s="1">
        <v>23</v>
      </c>
      <c r="I240" s="1">
        <v>80.900000000000006</v>
      </c>
      <c r="J240" s="1">
        <v>6.96</v>
      </c>
      <c r="K240" s="1">
        <v>0</v>
      </c>
      <c r="L240" s="1">
        <v>3.2</v>
      </c>
      <c r="M240" s="1">
        <v>761919.25</v>
      </c>
      <c r="N240" s="1">
        <v>111893.06</v>
      </c>
      <c r="O240">
        <f t="shared" si="18"/>
        <v>0</v>
      </c>
      <c r="P240">
        <f t="shared" si="19"/>
        <v>0</v>
      </c>
      <c r="Q240">
        <f t="shared" si="20"/>
        <v>0</v>
      </c>
      <c r="R240">
        <f t="shared" si="21"/>
        <v>0</v>
      </c>
      <c r="S240">
        <f t="shared" si="22"/>
        <v>0</v>
      </c>
      <c r="T240">
        <f t="shared" si="23"/>
        <v>0</v>
      </c>
    </row>
    <row r="241" spans="1:20">
      <c r="A241" s="1" t="s">
        <v>81</v>
      </c>
      <c r="B241" s="3">
        <v>45748</v>
      </c>
      <c r="C241" s="1" t="s">
        <v>27</v>
      </c>
      <c r="D241" s="1" t="s">
        <v>28</v>
      </c>
      <c r="E241" s="1">
        <v>26248.1</v>
      </c>
      <c r="F241" s="1">
        <v>9314</v>
      </c>
      <c r="G241" s="1">
        <v>0.186</v>
      </c>
      <c r="H241" s="1">
        <v>21</v>
      </c>
      <c r="I241" s="1">
        <v>83.7</v>
      </c>
      <c r="J241" s="1">
        <v>4.62</v>
      </c>
      <c r="K241" s="1">
        <v>0</v>
      </c>
      <c r="L241" s="1">
        <v>3.3</v>
      </c>
      <c r="M241" s="1">
        <v>737070.18</v>
      </c>
      <c r="N241" s="1">
        <v>117593.97</v>
      </c>
      <c r="O241">
        <f t="shared" si="18"/>
        <v>0</v>
      </c>
      <c r="P241">
        <f t="shared" si="19"/>
        <v>0</v>
      </c>
      <c r="Q241">
        <f t="shared" si="20"/>
        <v>0</v>
      </c>
      <c r="R241">
        <f t="shared" si="21"/>
        <v>0</v>
      </c>
      <c r="S241">
        <f t="shared" si="22"/>
        <v>0</v>
      </c>
      <c r="T241">
        <f t="shared" si="23"/>
        <v>0</v>
      </c>
    </row>
    <row r="242" spans="1:20">
      <c r="A242" s="1" t="s">
        <v>82</v>
      </c>
      <c r="B242" s="3">
        <v>45658</v>
      </c>
      <c r="C242" s="1" t="s">
        <v>24</v>
      </c>
      <c r="D242" s="1" t="s">
        <v>21</v>
      </c>
      <c r="E242" s="1">
        <v>69900.12</v>
      </c>
      <c r="F242" s="1">
        <v>8055</v>
      </c>
      <c r="G242" s="1">
        <v>0.28100000000000003</v>
      </c>
      <c r="H242" s="1">
        <v>22</v>
      </c>
      <c r="I242" s="1">
        <v>85.6</v>
      </c>
      <c r="J242" s="1">
        <v>10.68</v>
      </c>
      <c r="K242" s="1">
        <v>1</v>
      </c>
      <c r="L242" s="1">
        <v>2.9</v>
      </c>
      <c r="M242" s="1">
        <v>776992.93</v>
      </c>
      <c r="N242" s="1">
        <v>101598.32</v>
      </c>
      <c r="O242">
        <f t="shared" si="18"/>
        <v>0</v>
      </c>
      <c r="P242">
        <f t="shared" si="19"/>
        <v>0</v>
      </c>
      <c r="Q242">
        <f t="shared" si="20"/>
        <v>1</v>
      </c>
      <c r="R242">
        <f t="shared" si="21"/>
        <v>0</v>
      </c>
      <c r="S242">
        <f t="shared" si="22"/>
        <v>0</v>
      </c>
      <c r="T242">
        <f t="shared" si="23"/>
        <v>1</v>
      </c>
    </row>
    <row r="243" spans="1:20">
      <c r="A243" s="1" t="s">
        <v>82</v>
      </c>
      <c r="B243" s="3">
        <v>45689</v>
      </c>
      <c r="C243" s="1" t="s">
        <v>24</v>
      </c>
      <c r="D243" s="1" t="s">
        <v>21</v>
      </c>
      <c r="E243" s="1">
        <v>51781.599999999999</v>
      </c>
      <c r="F243" s="1">
        <v>5648</v>
      </c>
      <c r="G243" s="1">
        <v>5.8999999999999997E-2</v>
      </c>
      <c r="H243" s="1">
        <v>13</v>
      </c>
      <c r="I243" s="1">
        <v>85.5</v>
      </c>
      <c r="J243" s="1">
        <v>4.04</v>
      </c>
      <c r="K243" s="1">
        <v>0</v>
      </c>
      <c r="L243" s="1">
        <v>3.7</v>
      </c>
      <c r="M243" s="1">
        <v>676337.41</v>
      </c>
      <c r="N243" s="1">
        <v>104355.77</v>
      </c>
      <c r="O243">
        <f t="shared" si="18"/>
        <v>0</v>
      </c>
      <c r="P243">
        <f t="shared" si="19"/>
        <v>0</v>
      </c>
      <c r="Q243">
        <f t="shared" si="20"/>
        <v>1</v>
      </c>
      <c r="R243">
        <f t="shared" si="21"/>
        <v>0</v>
      </c>
      <c r="S243">
        <f t="shared" si="22"/>
        <v>0</v>
      </c>
      <c r="T243">
        <f t="shared" si="23"/>
        <v>1</v>
      </c>
    </row>
    <row r="244" spans="1:20">
      <c r="A244" s="1" t="s">
        <v>82</v>
      </c>
      <c r="B244" s="3">
        <v>45717</v>
      </c>
      <c r="C244" s="1" t="s">
        <v>24</v>
      </c>
      <c r="D244" s="1" t="s">
        <v>21</v>
      </c>
      <c r="E244" s="1">
        <v>70799.64</v>
      </c>
      <c r="F244" s="1">
        <v>10076</v>
      </c>
      <c r="G244" s="1">
        <v>0.152</v>
      </c>
      <c r="H244" s="1">
        <v>24</v>
      </c>
      <c r="I244" s="1">
        <v>84.8</v>
      </c>
      <c r="J244" s="1">
        <v>1.87</v>
      </c>
      <c r="K244" s="1">
        <v>0</v>
      </c>
      <c r="L244" s="1">
        <v>3.5</v>
      </c>
      <c r="M244" s="1">
        <v>828219.67</v>
      </c>
      <c r="N244" s="1">
        <v>179806.87</v>
      </c>
      <c r="O244">
        <f t="shared" si="18"/>
        <v>0</v>
      </c>
      <c r="P244">
        <f t="shared" si="19"/>
        <v>0</v>
      </c>
      <c r="Q244">
        <f t="shared" si="20"/>
        <v>1</v>
      </c>
      <c r="R244">
        <f t="shared" si="21"/>
        <v>0</v>
      </c>
      <c r="S244">
        <f t="shared" si="22"/>
        <v>0</v>
      </c>
      <c r="T244">
        <f t="shared" si="23"/>
        <v>1</v>
      </c>
    </row>
    <row r="245" spans="1:20">
      <c r="A245" s="1" t="s">
        <v>82</v>
      </c>
      <c r="B245" s="3">
        <v>45748</v>
      </c>
      <c r="C245" s="1" t="s">
        <v>24</v>
      </c>
      <c r="D245" s="1" t="s">
        <v>21</v>
      </c>
      <c r="E245" s="1">
        <v>53546.34</v>
      </c>
      <c r="F245" s="1">
        <v>8004</v>
      </c>
      <c r="G245" s="1">
        <v>0</v>
      </c>
      <c r="H245" s="1">
        <v>21</v>
      </c>
      <c r="I245" s="1">
        <v>95.2</v>
      </c>
      <c r="J245" s="1">
        <v>2.83</v>
      </c>
      <c r="K245" s="1">
        <v>0</v>
      </c>
      <c r="L245" s="1">
        <v>3</v>
      </c>
      <c r="M245" s="1">
        <v>763159.92</v>
      </c>
      <c r="N245" s="1">
        <v>177104.87</v>
      </c>
      <c r="O245">
        <f t="shared" si="18"/>
        <v>0</v>
      </c>
      <c r="P245">
        <f t="shared" si="19"/>
        <v>0</v>
      </c>
      <c r="Q245">
        <f t="shared" si="20"/>
        <v>1</v>
      </c>
      <c r="R245">
        <f t="shared" si="21"/>
        <v>0</v>
      </c>
      <c r="S245">
        <f t="shared" si="22"/>
        <v>0</v>
      </c>
      <c r="T245">
        <f t="shared" si="23"/>
        <v>1</v>
      </c>
    </row>
    <row r="246" spans="1:20">
      <c r="A246" s="1" t="s">
        <v>83</v>
      </c>
      <c r="B246" s="3">
        <v>45658</v>
      </c>
      <c r="C246" s="1" t="s">
        <v>15</v>
      </c>
      <c r="D246" s="1" t="s">
        <v>18</v>
      </c>
      <c r="E246" s="1">
        <v>76942.2</v>
      </c>
      <c r="F246" s="1">
        <v>8934</v>
      </c>
      <c r="G246" s="1">
        <v>8.4000000000000005E-2</v>
      </c>
      <c r="H246" s="1">
        <v>20</v>
      </c>
      <c r="I246" s="1">
        <v>91</v>
      </c>
      <c r="J246" s="1">
        <v>0.95</v>
      </c>
      <c r="K246" s="1">
        <v>0</v>
      </c>
      <c r="L246" s="1">
        <v>3.2</v>
      </c>
      <c r="M246" s="1">
        <v>802001.68</v>
      </c>
      <c r="N246" s="1">
        <v>159715.82</v>
      </c>
      <c r="O246">
        <f t="shared" si="18"/>
        <v>1</v>
      </c>
      <c r="P246">
        <f t="shared" si="19"/>
        <v>0</v>
      </c>
      <c r="Q246">
        <f t="shared" si="20"/>
        <v>0</v>
      </c>
      <c r="R246">
        <f t="shared" si="21"/>
        <v>0</v>
      </c>
      <c r="S246">
        <f t="shared" si="22"/>
        <v>1</v>
      </c>
      <c r="T246">
        <f t="shared" si="23"/>
        <v>0</v>
      </c>
    </row>
    <row r="247" spans="1:20">
      <c r="A247" s="1" t="s">
        <v>83</v>
      </c>
      <c r="B247" s="3">
        <v>45689</v>
      </c>
      <c r="C247" s="1" t="s">
        <v>15</v>
      </c>
      <c r="D247" s="1" t="s">
        <v>18</v>
      </c>
      <c r="E247" s="1">
        <v>48060.78</v>
      </c>
      <c r="F247" s="1">
        <v>8733</v>
      </c>
      <c r="G247" s="1">
        <v>0</v>
      </c>
      <c r="H247" s="1">
        <v>20</v>
      </c>
      <c r="I247" s="1">
        <v>89.9</v>
      </c>
      <c r="J247" s="1">
        <v>0.8</v>
      </c>
      <c r="K247" s="1">
        <v>0</v>
      </c>
      <c r="L247" s="1">
        <v>3.4</v>
      </c>
      <c r="M247" s="1">
        <v>750471.34</v>
      </c>
      <c r="N247" s="1">
        <v>133788.04</v>
      </c>
      <c r="O247">
        <f t="shared" si="18"/>
        <v>1</v>
      </c>
      <c r="P247">
        <f t="shared" si="19"/>
        <v>0</v>
      </c>
      <c r="Q247">
        <f t="shared" si="20"/>
        <v>0</v>
      </c>
      <c r="R247">
        <f t="shared" si="21"/>
        <v>0</v>
      </c>
      <c r="S247">
        <f t="shared" si="22"/>
        <v>1</v>
      </c>
      <c r="T247">
        <f t="shared" si="23"/>
        <v>0</v>
      </c>
    </row>
    <row r="248" spans="1:20">
      <c r="A248" s="1" t="s">
        <v>83</v>
      </c>
      <c r="B248" s="3">
        <v>45717</v>
      </c>
      <c r="C248" s="1" t="s">
        <v>15</v>
      </c>
      <c r="D248" s="1" t="s">
        <v>18</v>
      </c>
      <c r="E248" s="1">
        <v>57390.04</v>
      </c>
      <c r="F248" s="1">
        <v>7374</v>
      </c>
      <c r="G248" s="1">
        <v>0.21</v>
      </c>
      <c r="H248" s="1">
        <v>21</v>
      </c>
      <c r="I248" s="1">
        <v>91.8</v>
      </c>
      <c r="J248" s="1">
        <v>0.2</v>
      </c>
      <c r="K248" s="1">
        <v>0</v>
      </c>
      <c r="L248" s="1">
        <v>3.1</v>
      </c>
      <c r="M248" s="1">
        <v>679230.86</v>
      </c>
      <c r="N248" s="1">
        <v>106927.58</v>
      </c>
      <c r="O248">
        <f t="shared" si="18"/>
        <v>1</v>
      </c>
      <c r="P248">
        <f t="shared" si="19"/>
        <v>0</v>
      </c>
      <c r="Q248">
        <f t="shared" si="20"/>
        <v>0</v>
      </c>
      <c r="R248">
        <f t="shared" si="21"/>
        <v>0</v>
      </c>
      <c r="S248">
        <f t="shared" si="22"/>
        <v>1</v>
      </c>
      <c r="T248">
        <f t="shared" si="23"/>
        <v>0</v>
      </c>
    </row>
    <row r="249" spans="1:20">
      <c r="A249" s="1" t="s">
        <v>83</v>
      </c>
      <c r="B249" s="3">
        <v>45748</v>
      </c>
      <c r="C249" s="1" t="s">
        <v>15</v>
      </c>
      <c r="D249" s="1" t="s">
        <v>18</v>
      </c>
      <c r="E249" s="1">
        <v>21536.18</v>
      </c>
      <c r="F249" s="1">
        <v>8119</v>
      </c>
      <c r="G249" s="1">
        <v>0.22700000000000001</v>
      </c>
      <c r="H249" s="1">
        <v>20</v>
      </c>
      <c r="I249" s="1">
        <v>90.4</v>
      </c>
      <c r="J249" s="1">
        <v>1.7</v>
      </c>
      <c r="K249" s="1">
        <v>0</v>
      </c>
      <c r="L249" s="1">
        <v>3.3</v>
      </c>
      <c r="M249" s="1">
        <v>679888.74</v>
      </c>
      <c r="N249" s="1">
        <v>83406.89</v>
      </c>
      <c r="O249">
        <f t="shared" si="18"/>
        <v>1</v>
      </c>
      <c r="P249">
        <f t="shared" si="19"/>
        <v>0</v>
      </c>
      <c r="Q249">
        <f t="shared" si="20"/>
        <v>0</v>
      </c>
      <c r="R249">
        <f t="shared" si="21"/>
        <v>0</v>
      </c>
      <c r="S249">
        <f t="shared" si="22"/>
        <v>1</v>
      </c>
      <c r="T249">
        <f t="shared" si="23"/>
        <v>0</v>
      </c>
    </row>
    <row r="250" spans="1:20">
      <c r="A250" s="1" t="s">
        <v>84</v>
      </c>
      <c r="B250" s="3">
        <v>45658</v>
      </c>
      <c r="C250" s="1" t="s">
        <v>20</v>
      </c>
      <c r="D250" s="1" t="s">
        <v>18</v>
      </c>
      <c r="E250" s="1">
        <v>40923.67</v>
      </c>
      <c r="F250" s="1">
        <v>3875</v>
      </c>
      <c r="G250" s="1">
        <v>0.15</v>
      </c>
      <c r="H250" s="1">
        <v>10</v>
      </c>
      <c r="I250" s="1">
        <v>96.1</v>
      </c>
      <c r="J250" s="1"/>
      <c r="K250" s="1">
        <v>0</v>
      </c>
      <c r="L250" s="1">
        <v>3.8</v>
      </c>
      <c r="M250" s="1">
        <v>606783.67000000004</v>
      </c>
      <c r="N250" s="1">
        <v>74515.87</v>
      </c>
      <c r="O250">
        <f t="shared" si="18"/>
        <v>0</v>
      </c>
      <c r="P250">
        <f t="shared" si="19"/>
        <v>1</v>
      </c>
      <c r="Q250">
        <f t="shared" si="20"/>
        <v>0</v>
      </c>
      <c r="R250">
        <f t="shared" si="21"/>
        <v>0</v>
      </c>
      <c r="S250">
        <f t="shared" si="22"/>
        <v>1</v>
      </c>
      <c r="T250">
        <f t="shared" si="23"/>
        <v>0</v>
      </c>
    </row>
    <row r="251" spans="1:20">
      <c r="A251" s="1" t="s">
        <v>84</v>
      </c>
      <c r="B251" s="3">
        <v>45689</v>
      </c>
      <c r="C251" s="1" t="s">
        <v>20</v>
      </c>
      <c r="D251" s="1" t="s">
        <v>18</v>
      </c>
      <c r="E251" s="1">
        <v>72932.55</v>
      </c>
      <c r="F251" s="1">
        <v>5765</v>
      </c>
      <c r="G251" s="1">
        <v>2.5999999999999999E-2</v>
      </c>
      <c r="H251" s="1">
        <v>17</v>
      </c>
      <c r="I251" s="1">
        <v>81.8</v>
      </c>
      <c r="J251" s="1">
        <v>5.0999999999999996</v>
      </c>
      <c r="K251" s="1">
        <v>0</v>
      </c>
      <c r="L251" s="1">
        <v>3.6</v>
      </c>
      <c r="M251" s="1">
        <v>642751.42000000004</v>
      </c>
      <c r="N251" s="1">
        <v>131942.15</v>
      </c>
      <c r="O251">
        <f t="shared" si="18"/>
        <v>0</v>
      </c>
      <c r="P251">
        <f t="shared" si="19"/>
        <v>1</v>
      </c>
      <c r="Q251">
        <f t="shared" si="20"/>
        <v>0</v>
      </c>
      <c r="R251">
        <f t="shared" si="21"/>
        <v>0</v>
      </c>
      <c r="S251">
        <f t="shared" si="22"/>
        <v>1</v>
      </c>
      <c r="T251">
        <f t="shared" si="23"/>
        <v>0</v>
      </c>
    </row>
    <row r="252" spans="1:20">
      <c r="A252" s="1" t="s">
        <v>84</v>
      </c>
      <c r="B252" s="3">
        <v>45717</v>
      </c>
      <c r="C252" s="1" t="s">
        <v>20</v>
      </c>
      <c r="D252" s="1" t="s">
        <v>18</v>
      </c>
      <c r="E252" s="1">
        <v>38361.93</v>
      </c>
      <c r="F252" s="1">
        <v>6322</v>
      </c>
      <c r="G252" s="1">
        <v>0.27300000000000002</v>
      </c>
      <c r="H252" s="1">
        <v>15</v>
      </c>
      <c r="I252" s="1">
        <v>88.4</v>
      </c>
      <c r="J252" s="1">
        <v>0.83</v>
      </c>
      <c r="K252" s="1">
        <v>0</v>
      </c>
      <c r="L252" s="1">
        <v>4</v>
      </c>
      <c r="M252" s="1">
        <v>647953.78</v>
      </c>
      <c r="N252" s="1">
        <v>118497.43</v>
      </c>
      <c r="O252">
        <f t="shared" si="18"/>
        <v>0</v>
      </c>
      <c r="P252">
        <f t="shared" si="19"/>
        <v>1</v>
      </c>
      <c r="Q252">
        <f t="shared" si="20"/>
        <v>0</v>
      </c>
      <c r="R252">
        <f t="shared" si="21"/>
        <v>0</v>
      </c>
      <c r="S252">
        <f t="shared" si="22"/>
        <v>1</v>
      </c>
      <c r="T252">
        <f t="shared" si="23"/>
        <v>0</v>
      </c>
    </row>
    <row r="253" spans="1:20">
      <c r="A253" s="1" t="s">
        <v>84</v>
      </c>
      <c r="B253" s="3">
        <v>45748</v>
      </c>
      <c r="C253" s="1" t="s">
        <v>20</v>
      </c>
      <c r="D253" s="1" t="s">
        <v>18</v>
      </c>
      <c r="E253" s="1">
        <v>97480.94</v>
      </c>
      <c r="F253" s="1">
        <v>6840</v>
      </c>
      <c r="G253" s="1">
        <v>8.6999999999999994E-2</v>
      </c>
      <c r="H253" s="1">
        <v>14</v>
      </c>
      <c r="I253" s="1">
        <v>79.2</v>
      </c>
      <c r="J253" s="1">
        <v>1.1399999999999999</v>
      </c>
      <c r="K253" s="1">
        <v>0</v>
      </c>
      <c r="L253" s="1">
        <v>4</v>
      </c>
      <c r="M253" s="1">
        <v>729440.45</v>
      </c>
      <c r="N253" s="1">
        <v>87614.29</v>
      </c>
      <c r="O253">
        <f t="shared" si="18"/>
        <v>0</v>
      </c>
      <c r="P253">
        <f t="shared" si="19"/>
        <v>1</v>
      </c>
      <c r="Q253">
        <f t="shared" si="20"/>
        <v>0</v>
      </c>
      <c r="R253">
        <f t="shared" si="21"/>
        <v>0</v>
      </c>
      <c r="S253">
        <f t="shared" si="22"/>
        <v>1</v>
      </c>
      <c r="T253">
        <f t="shared" si="23"/>
        <v>0</v>
      </c>
    </row>
    <row r="254" spans="1:20">
      <c r="A254" s="1" t="s">
        <v>85</v>
      </c>
      <c r="B254" s="3">
        <v>45658</v>
      </c>
      <c r="C254" s="1" t="s">
        <v>24</v>
      </c>
      <c r="D254" s="1" t="s">
        <v>21</v>
      </c>
      <c r="E254" s="1">
        <v>81801.8</v>
      </c>
      <c r="F254" s="1">
        <v>6782</v>
      </c>
      <c r="G254" s="1">
        <v>0.05</v>
      </c>
      <c r="H254" s="1">
        <v>16</v>
      </c>
      <c r="I254" s="1">
        <v>99</v>
      </c>
      <c r="J254" s="1">
        <v>9.5399999999999991</v>
      </c>
      <c r="K254" s="1">
        <v>0</v>
      </c>
      <c r="L254" s="1">
        <v>3.7</v>
      </c>
      <c r="M254" s="1">
        <v>764949</v>
      </c>
      <c r="N254" s="1">
        <v>148322.43</v>
      </c>
      <c r="O254">
        <f t="shared" si="18"/>
        <v>0</v>
      </c>
      <c r="P254">
        <f t="shared" si="19"/>
        <v>0</v>
      </c>
      <c r="Q254">
        <f t="shared" si="20"/>
        <v>1</v>
      </c>
      <c r="R254">
        <f t="shared" si="21"/>
        <v>0</v>
      </c>
      <c r="S254">
        <f t="shared" si="22"/>
        <v>0</v>
      </c>
      <c r="T254">
        <f t="shared" si="23"/>
        <v>1</v>
      </c>
    </row>
    <row r="255" spans="1:20">
      <c r="A255" s="1" t="s">
        <v>85</v>
      </c>
      <c r="B255" s="3">
        <v>45689</v>
      </c>
      <c r="C255" s="1" t="s">
        <v>24</v>
      </c>
      <c r="D255" s="1" t="s">
        <v>21</v>
      </c>
      <c r="E255" s="1">
        <v>63582.11</v>
      </c>
      <c r="F255" s="1">
        <v>6856</v>
      </c>
      <c r="G255" s="1">
        <v>7.3999999999999996E-2</v>
      </c>
      <c r="H255" s="1">
        <v>17</v>
      </c>
      <c r="I255" s="1">
        <v>89.5</v>
      </c>
      <c r="J255" s="1">
        <v>5.48</v>
      </c>
      <c r="K255" s="1">
        <v>0</v>
      </c>
      <c r="L255" s="1">
        <v>3.2</v>
      </c>
      <c r="M255" s="1">
        <v>799046.94</v>
      </c>
      <c r="N255" s="1">
        <v>144553.64000000001</v>
      </c>
      <c r="O255">
        <f t="shared" si="18"/>
        <v>0</v>
      </c>
      <c r="P255">
        <f t="shared" si="19"/>
        <v>0</v>
      </c>
      <c r="Q255">
        <f t="shared" si="20"/>
        <v>1</v>
      </c>
      <c r="R255">
        <f t="shared" si="21"/>
        <v>0</v>
      </c>
      <c r="S255">
        <f t="shared" si="22"/>
        <v>0</v>
      </c>
      <c r="T255">
        <f t="shared" si="23"/>
        <v>1</v>
      </c>
    </row>
    <row r="256" spans="1:20">
      <c r="A256" s="1" t="s">
        <v>85</v>
      </c>
      <c r="B256" s="3">
        <v>45717</v>
      </c>
      <c r="C256" s="1" t="s">
        <v>24</v>
      </c>
      <c r="D256" s="1" t="s">
        <v>21</v>
      </c>
      <c r="E256" s="1">
        <v>75412.740000000005</v>
      </c>
      <c r="F256" s="1">
        <v>5641</v>
      </c>
      <c r="G256" s="1">
        <v>5.8999999999999997E-2</v>
      </c>
      <c r="H256" s="1">
        <v>13</v>
      </c>
      <c r="I256" s="1">
        <v>87.9</v>
      </c>
      <c r="J256" s="1">
        <v>0.84</v>
      </c>
      <c r="K256" s="1">
        <v>0</v>
      </c>
      <c r="L256" s="1">
        <v>3.6</v>
      </c>
      <c r="M256" s="1">
        <v>720079.54</v>
      </c>
      <c r="N256" s="1">
        <v>119499.47</v>
      </c>
      <c r="O256">
        <f t="shared" si="18"/>
        <v>0</v>
      </c>
      <c r="P256">
        <f t="shared" si="19"/>
        <v>0</v>
      </c>
      <c r="Q256">
        <f t="shared" si="20"/>
        <v>1</v>
      </c>
      <c r="R256">
        <f t="shared" si="21"/>
        <v>0</v>
      </c>
      <c r="S256">
        <f t="shared" si="22"/>
        <v>0</v>
      </c>
      <c r="T256">
        <f t="shared" si="23"/>
        <v>1</v>
      </c>
    </row>
    <row r="257" spans="1:20">
      <c r="A257" s="1" t="s">
        <v>85</v>
      </c>
      <c r="B257" s="3">
        <v>45748</v>
      </c>
      <c r="C257" s="1" t="s">
        <v>24</v>
      </c>
      <c r="D257" s="1" t="s">
        <v>21</v>
      </c>
      <c r="E257" s="1">
        <v>36290.080000000002</v>
      </c>
      <c r="F257" s="1">
        <v>5787</v>
      </c>
      <c r="G257" s="1">
        <v>0</v>
      </c>
      <c r="H257" s="1">
        <v>17</v>
      </c>
      <c r="I257" s="1">
        <v>88.3</v>
      </c>
      <c r="J257" s="1">
        <v>4.1900000000000004</v>
      </c>
      <c r="K257" s="1">
        <v>0</v>
      </c>
      <c r="L257" s="1">
        <v>4.0999999999999996</v>
      </c>
      <c r="M257" s="1">
        <v>612390.14</v>
      </c>
      <c r="N257" s="1">
        <v>108985.74</v>
      </c>
      <c r="O257">
        <f t="shared" si="18"/>
        <v>0</v>
      </c>
      <c r="P257">
        <f t="shared" si="19"/>
        <v>0</v>
      </c>
      <c r="Q257">
        <f t="shared" si="20"/>
        <v>1</v>
      </c>
      <c r="R257">
        <f t="shared" si="21"/>
        <v>0</v>
      </c>
      <c r="S257">
        <f t="shared" si="22"/>
        <v>0</v>
      </c>
      <c r="T257">
        <f t="shared" si="23"/>
        <v>1</v>
      </c>
    </row>
    <row r="258" spans="1:20">
      <c r="A258" s="1" t="s">
        <v>86</v>
      </c>
      <c r="B258" s="3">
        <v>45658</v>
      </c>
      <c r="C258" s="1" t="s">
        <v>24</v>
      </c>
      <c r="D258" s="1" t="s">
        <v>28</v>
      </c>
      <c r="E258" s="1">
        <v>65272.58</v>
      </c>
      <c r="F258" s="1">
        <v>8165</v>
      </c>
      <c r="G258" s="1">
        <v>5.0999999999999997E-2</v>
      </c>
      <c r="H258" s="1">
        <v>19</v>
      </c>
      <c r="I258" s="1">
        <v>87.8</v>
      </c>
      <c r="J258" s="1">
        <v>1.26</v>
      </c>
      <c r="K258" s="1">
        <v>1</v>
      </c>
      <c r="L258" s="1">
        <v>4.3</v>
      </c>
      <c r="M258" s="1">
        <v>840108.12</v>
      </c>
      <c r="N258" s="1">
        <v>126587.01</v>
      </c>
      <c r="O258">
        <f t="shared" si="18"/>
        <v>0</v>
      </c>
      <c r="P258">
        <f t="shared" si="19"/>
        <v>0</v>
      </c>
      <c r="Q258">
        <f t="shared" si="20"/>
        <v>1</v>
      </c>
      <c r="R258">
        <f t="shared" si="21"/>
        <v>0</v>
      </c>
      <c r="S258">
        <f t="shared" si="22"/>
        <v>0</v>
      </c>
      <c r="T258">
        <f t="shared" si="23"/>
        <v>0</v>
      </c>
    </row>
    <row r="259" spans="1:20">
      <c r="A259" s="1" t="s">
        <v>86</v>
      </c>
      <c r="B259" s="3">
        <v>45689</v>
      </c>
      <c r="C259" s="1" t="s">
        <v>24</v>
      </c>
      <c r="D259" s="1" t="s">
        <v>28</v>
      </c>
      <c r="E259" s="1">
        <v>28670.43</v>
      </c>
      <c r="F259" s="1">
        <v>7574</v>
      </c>
      <c r="G259" s="1">
        <v>0.114</v>
      </c>
      <c r="H259" s="1">
        <v>19</v>
      </c>
      <c r="I259" s="1">
        <v>82.7</v>
      </c>
      <c r="J259" s="1">
        <v>2.74</v>
      </c>
      <c r="K259" s="1">
        <v>0</v>
      </c>
      <c r="L259" s="1">
        <v>4.5999999999999996</v>
      </c>
      <c r="M259" s="1">
        <v>697888.09</v>
      </c>
      <c r="N259" s="1">
        <v>116249.87</v>
      </c>
      <c r="O259">
        <f t="shared" ref="O259:O321" si="24">IF(C259="East",1,0)</f>
        <v>0</v>
      </c>
      <c r="P259">
        <f t="shared" ref="P259:P321" si="25">IF(C259="North",1,0)</f>
        <v>0</v>
      </c>
      <c r="Q259">
        <f t="shared" ref="Q259:Q321" si="26">IF(C259="South",1,0)</f>
        <v>1</v>
      </c>
      <c r="R259">
        <f t="shared" ref="R259:R321" si="27">IF(D259="Residential",1,0)</f>
        <v>0</v>
      </c>
      <c r="S259">
        <f t="shared" ref="S259:S321" si="28">IF(D259="High Street",1,0)</f>
        <v>0</v>
      </c>
      <c r="T259">
        <f t="shared" ref="T259:T321" si="29">IF(D259="Airport",1,0)</f>
        <v>0</v>
      </c>
    </row>
    <row r="260" spans="1:20">
      <c r="A260" s="1" t="s">
        <v>86</v>
      </c>
      <c r="B260" s="3">
        <v>45717</v>
      </c>
      <c r="C260" s="1" t="s">
        <v>24</v>
      </c>
      <c r="D260" s="1" t="s">
        <v>28</v>
      </c>
      <c r="E260" s="1">
        <v>44189.34</v>
      </c>
      <c r="F260" s="1">
        <v>8634</v>
      </c>
      <c r="G260" s="1">
        <v>0.14299999999999999</v>
      </c>
      <c r="H260" s="1">
        <v>19</v>
      </c>
      <c r="I260" s="1">
        <v>87.5</v>
      </c>
      <c r="J260" s="1">
        <v>3.69</v>
      </c>
      <c r="K260" s="1">
        <v>0</v>
      </c>
      <c r="L260" s="1">
        <v>4.4000000000000004</v>
      </c>
      <c r="M260" s="1">
        <v>746115.59</v>
      </c>
      <c r="N260" s="1">
        <v>94662.96</v>
      </c>
      <c r="O260">
        <f t="shared" si="24"/>
        <v>0</v>
      </c>
      <c r="P260">
        <f t="shared" si="25"/>
        <v>0</v>
      </c>
      <c r="Q260">
        <f t="shared" si="26"/>
        <v>1</v>
      </c>
      <c r="R260">
        <f t="shared" si="27"/>
        <v>0</v>
      </c>
      <c r="S260">
        <f t="shared" si="28"/>
        <v>0</v>
      </c>
      <c r="T260">
        <f t="shared" si="29"/>
        <v>0</v>
      </c>
    </row>
    <row r="261" spans="1:20">
      <c r="A261" s="1" t="s">
        <v>86</v>
      </c>
      <c r="B261" s="3">
        <v>45748</v>
      </c>
      <c r="C261" s="1" t="s">
        <v>24</v>
      </c>
      <c r="D261" s="1" t="s">
        <v>28</v>
      </c>
      <c r="E261" s="1">
        <v>38397.82</v>
      </c>
      <c r="F261" s="1">
        <v>7836</v>
      </c>
      <c r="G261" s="1">
        <v>7.0000000000000001E-3</v>
      </c>
      <c r="H261" s="1">
        <v>21</v>
      </c>
      <c r="I261" s="1">
        <v>92.2</v>
      </c>
      <c r="J261" s="1">
        <v>1.82</v>
      </c>
      <c r="K261" s="1">
        <v>0</v>
      </c>
      <c r="L261" s="1">
        <v>3.6</v>
      </c>
      <c r="M261" s="1">
        <v>776110.32</v>
      </c>
      <c r="N261" s="1">
        <v>139676.21</v>
      </c>
      <c r="O261">
        <f t="shared" si="24"/>
        <v>0</v>
      </c>
      <c r="P261">
        <f t="shared" si="25"/>
        <v>0</v>
      </c>
      <c r="Q261">
        <f t="shared" si="26"/>
        <v>1</v>
      </c>
      <c r="R261">
        <f t="shared" si="27"/>
        <v>0</v>
      </c>
      <c r="S261">
        <f t="shared" si="28"/>
        <v>0</v>
      </c>
      <c r="T261">
        <f t="shared" si="29"/>
        <v>0</v>
      </c>
    </row>
    <row r="262" spans="1:20">
      <c r="A262" s="1" t="s">
        <v>87</v>
      </c>
      <c r="B262" s="3">
        <v>45658</v>
      </c>
      <c r="C262" s="1" t="s">
        <v>27</v>
      </c>
      <c r="D262" s="1" t="s">
        <v>18</v>
      </c>
      <c r="E262" s="1">
        <v>14519.37</v>
      </c>
      <c r="F262" s="1">
        <v>3047</v>
      </c>
      <c r="G262" s="1">
        <v>0.13500000000000001</v>
      </c>
      <c r="H262" s="1">
        <v>10</v>
      </c>
      <c r="I262" s="1">
        <v>90.3</v>
      </c>
      <c r="J262" s="1">
        <v>6.62</v>
      </c>
      <c r="K262" s="1">
        <v>0</v>
      </c>
      <c r="L262" s="1">
        <v>4.2</v>
      </c>
      <c r="M262" s="1">
        <v>528852.62</v>
      </c>
      <c r="N262" s="1">
        <v>68426.210000000006</v>
      </c>
      <c r="O262">
        <f t="shared" si="24"/>
        <v>0</v>
      </c>
      <c r="P262">
        <f t="shared" si="25"/>
        <v>0</v>
      </c>
      <c r="Q262">
        <f t="shared" si="26"/>
        <v>0</v>
      </c>
      <c r="R262">
        <f t="shared" si="27"/>
        <v>0</v>
      </c>
      <c r="S262">
        <f t="shared" si="28"/>
        <v>1</v>
      </c>
      <c r="T262">
        <f t="shared" si="29"/>
        <v>0</v>
      </c>
    </row>
    <row r="263" spans="1:20">
      <c r="A263" s="1" t="s">
        <v>87</v>
      </c>
      <c r="B263" s="3">
        <v>45689</v>
      </c>
      <c r="C263" s="1" t="s">
        <v>27</v>
      </c>
      <c r="D263" s="1" t="s">
        <v>18</v>
      </c>
      <c r="E263" s="1">
        <v>43288.2</v>
      </c>
      <c r="F263" s="1">
        <v>4783</v>
      </c>
      <c r="G263" s="1">
        <v>0.16900000000000001</v>
      </c>
      <c r="H263" s="1">
        <v>13</v>
      </c>
      <c r="I263" s="1">
        <v>87.3</v>
      </c>
      <c r="J263" s="1"/>
      <c r="K263" s="1">
        <v>0</v>
      </c>
      <c r="L263" s="1">
        <v>4.2</v>
      </c>
      <c r="M263" s="1">
        <v>605751.32999999996</v>
      </c>
      <c r="N263" s="1">
        <v>60685.53</v>
      </c>
      <c r="O263">
        <f t="shared" si="24"/>
        <v>0</v>
      </c>
      <c r="P263">
        <f t="shared" si="25"/>
        <v>0</v>
      </c>
      <c r="Q263">
        <f t="shared" si="26"/>
        <v>0</v>
      </c>
      <c r="R263">
        <f t="shared" si="27"/>
        <v>0</v>
      </c>
      <c r="S263">
        <f t="shared" si="28"/>
        <v>1</v>
      </c>
      <c r="T263">
        <f t="shared" si="29"/>
        <v>0</v>
      </c>
    </row>
    <row r="264" spans="1:20">
      <c r="A264" s="1" t="s">
        <v>87</v>
      </c>
      <c r="B264" s="3">
        <v>45717</v>
      </c>
      <c r="C264" s="1" t="s">
        <v>27</v>
      </c>
      <c r="D264" s="1" t="s">
        <v>18</v>
      </c>
      <c r="E264" s="1">
        <v>51450.55</v>
      </c>
      <c r="F264" s="1">
        <v>4902</v>
      </c>
      <c r="G264" s="1">
        <v>8.5999999999999993E-2</v>
      </c>
      <c r="H264" s="1">
        <v>11</v>
      </c>
      <c r="I264" s="1">
        <v>83.7</v>
      </c>
      <c r="J264" s="1">
        <v>6.92</v>
      </c>
      <c r="K264" s="1">
        <v>1</v>
      </c>
      <c r="L264" s="1">
        <v>4.2</v>
      </c>
      <c r="M264" s="1">
        <v>677640.65</v>
      </c>
      <c r="N264" s="1">
        <v>111610.89</v>
      </c>
      <c r="O264">
        <f t="shared" si="24"/>
        <v>0</v>
      </c>
      <c r="P264">
        <f t="shared" si="25"/>
        <v>0</v>
      </c>
      <c r="Q264">
        <f t="shared" si="26"/>
        <v>0</v>
      </c>
      <c r="R264">
        <f t="shared" si="27"/>
        <v>0</v>
      </c>
      <c r="S264">
        <f t="shared" si="28"/>
        <v>1</v>
      </c>
      <c r="T264">
        <f t="shared" si="29"/>
        <v>0</v>
      </c>
    </row>
    <row r="265" spans="1:20">
      <c r="A265" s="1" t="s">
        <v>87</v>
      </c>
      <c r="B265" s="3">
        <v>45748</v>
      </c>
      <c r="C265" s="1" t="s">
        <v>27</v>
      </c>
      <c r="D265" s="1" t="s">
        <v>18</v>
      </c>
      <c r="E265" s="1">
        <v>58688.26</v>
      </c>
      <c r="F265" s="1">
        <v>4022</v>
      </c>
      <c r="G265" s="1">
        <v>0.217</v>
      </c>
      <c r="H265" s="1">
        <v>12</v>
      </c>
      <c r="I265" s="1">
        <v>93.8</v>
      </c>
      <c r="J265" s="1">
        <v>11.78</v>
      </c>
      <c r="K265" s="1">
        <v>0</v>
      </c>
      <c r="L265" s="1">
        <v>3.7</v>
      </c>
      <c r="M265" s="1">
        <v>636613.23</v>
      </c>
      <c r="N265" s="1">
        <v>78908.350000000006</v>
      </c>
      <c r="O265">
        <f t="shared" si="24"/>
        <v>0</v>
      </c>
      <c r="P265">
        <f t="shared" si="25"/>
        <v>0</v>
      </c>
      <c r="Q265">
        <f t="shared" si="26"/>
        <v>0</v>
      </c>
      <c r="R265">
        <f t="shared" si="27"/>
        <v>0</v>
      </c>
      <c r="S265">
        <f t="shared" si="28"/>
        <v>1</v>
      </c>
      <c r="T265">
        <f t="shared" si="29"/>
        <v>0</v>
      </c>
    </row>
    <row r="266" spans="1:20">
      <c r="A266" s="1" t="s">
        <v>88</v>
      </c>
      <c r="B266" s="3">
        <v>45658</v>
      </c>
      <c r="C266" s="1" t="s">
        <v>15</v>
      </c>
      <c r="D266" s="1" t="s">
        <v>18</v>
      </c>
      <c r="E266" s="1">
        <v>58981.91</v>
      </c>
      <c r="F266" s="1">
        <v>7324</v>
      </c>
      <c r="G266" s="1">
        <v>9.4E-2</v>
      </c>
      <c r="H266" s="1">
        <v>15</v>
      </c>
      <c r="I266" s="1">
        <v>95.8</v>
      </c>
      <c r="J266" s="1">
        <v>0.5</v>
      </c>
      <c r="K266" s="1">
        <v>0</v>
      </c>
      <c r="L266" s="1">
        <v>3.5</v>
      </c>
      <c r="M266" s="1">
        <v>708985.19</v>
      </c>
      <c r="N266" s="1">
        <v>125368.16</v>
      </c>
      <c r="O266">
        <f t="shared" si="24"/>
        <v>1</v>
      </c>
      <c r="P266">
        <f t="shared" si="25"/>
        <v>0</v>
      </c>
      <c r="Q266">
        <f t="shared" si="26"/>
        <v>0</v>
      </c>
      <c r="R266">
        <f t="shared" si="27"/>
        <v>0</v>
      </c>
      <c r="S266">
        <f t="shared" si="28"/>
        <v>1</v>
      </c>
      <c r="T266">
        <f t="shared" si="29"/>
        <v>0</v>
      </c>
    </row>
    <row r="267" spans="1:20">
      <c r="A267" s="1" t="s">
        <v>88</v>
      </c>
      <c r="B267" s="3">
        <v>45689</v>
      </c>
      <c r="C267" s="1" t="s">
        <v>15</v>
      </c>
      <c r="D267" s="1" t="s">
        <v>18</v>
      </c>
      <c r="E267" s="1">
        <v>73454.539999999994</v>
      </c>
      <c r="F267" s="1">
        <v>8129</v>
      </c>
      <c r="G267" s="1">
        <v>0.21099999999999999</v>
      </c>
      <c r="H267" s="1">
        <v>20</v>
      </c>
      <c r="I267" s="1">
        <v>85.2</v>
      </c>
      <c r="J267" s="1">
        <v>0.88</v>
      </c>
      <c r="K267" s="1">
        <v>0</v>
      </c>
      <c r="L267" s="1">
        <v>3.7</v>
      </c>
      <c r="M267" s="1">
        <v>767792.94</v>
      </c>
      <c r="N267" s="1">
        <v>96235.77</v>
      </c>
      <c r="O267">
        <f t="shared" si="24"/>
        <v>1</v>
      </c>
      <c r="P267">
        <f t="shared" si="25"/>
        <v>0</v>
      </c>
      <c r="Q267">
        <f t="shared" si="26"/>
        <v>0</v>
      </c>
      <c r="R267">
        <f t="shared" si="27"/>
        <v>0</v>
      </c>
      <c r="S267">
        <f t="shared" si="28"/>
        <v>1</v>
      </c>
      <c r="T267">
        <f t="shared" si="29"/>
        <v>0</v>
      </c>
    </row>
    <row r="268" spans="1:20">
      <c r="A268" s="1" t="s">
        <v>88</v>
      </c>
      <c r="B268" s="3">
        <v>45717</v>
      </c>
      <c r="C268" s="1" t="s">
        <v>15</v>
      </c>
      <c r="D268" s="1" t="s">
        <v>18</v>
      </c>
      <c r="E268" s="1">
        <v>56602.39</v>
      </c>
      <c r="F268" s="1">
        <v>7969</v>
      </c>
      <c r="G268" s="1">
        <v>0.17</v>
      </c>
      <c r="H268" s="1">
        <v>21</v>
      </c>
      <c r="I268" s="1">
        <v>88.3</v>
      </c>
      <c r="J268" s="1">
        <v>2.25</v>
      </c>
      <c r="K268" s="1">
        <v>0</v>
      </c>
      <c r="L268" s="1">
        <v>3.7</v>
      </c>
      <c r="M268" s="1">
        <v>745580.51</v>
      </c>
      <c r="N268" s="1">
        <v>116273.68</v>
      </c>
      <c r="O268">
        <f t="shared" si="24"/>
        <v>1</v>
      </c>
      <c r="P268">
        <f t="shared" si="25"/>
        <v>0</v>
      </c>
      <c r="Q268">
        <f t="shared" si="26"/>
        <v>0</v>
      </c>
      <c r="R268">
        <f t="shared" si="27"/>
        <v>0</v>
      </c>
      <c r="S268">
        <f t="shared" si="28"/>
        <v>1</v>
      </c>
      <c r="T268">
        <f t="shared" si="29"/>
        <v>0</v>
      </c>
    </row>
    <row r="269" spans="1:20">
      <c r="A269" s="1" t="s">
        <v>88</v>
      </c>
      <c r="B269" s="3">
        <v>45748</v>
      </c>
      <c r="C269" s="1" t="s">
        <v>15</v>
      </c>
      <c r="D269" s="1" t="s">
        <v>18</v>
      </c>
      <c r="E269" s="1">
        <v>67722.289999999994</v>
      </c>
      <c r="F269" s="1">
        <v>7240</v>
      </c>
      <c r="G269" s="1">
        <v>2.5999999999999999E-2</v>
      </c>
      <c r="H269" s="1">
        <v>15</v>
      </c>
      <c r="I269" s="1">
        <v>92.9</v>
      </c>
      <c r="J269" s="1">
        <v>0.28999999999999998</v>
      </c>
      <c r="K269" s="1">
        <v>0</v>
      </c>
      <c r="L269" s="1">
        <v>3.5</v>
      </c>
      <c r="M269" s="1">
        <v>762328.31</v>
      </c>
      <c r="N269" s="1">
        <v>159158.19</v>
      </c>
      <c r="O269">
        <f t="shared" si="24"/>
        <v>1</v>
      </c>
      <c r="P269">
        <f t="shared" si="25"/>
        <v>0</v>
      </c>
      <c r="Q269">
        <f t="shared" si="26"/>
        <v>0</v>
      </c>
      <c r="R269">
        <f t="shared" si="27"/>
        <v>0</v>
      </c>
      <c r="S269">
        <f t="shared" si="28"/>
        <v>1</v>
      </c>
      <c r="T269">
        <f t="shared" si="29"/>
        <v>0</v>
      </c>
    </row>
    <row r="270" spans="1:20">
      <c r="A270" s="1" t="s">
        <v>89</v>
      </c>
      <c r="B270" s="3">
        <v>45658</v>
      </c>
      <c r="C270" s="1" t="s">
        <v>15</v>
      </c>
      <c r="D270" s="1" t="s">
        <v>28</v>
      </c>
      <c r="E270" s="1">
        <v>48752.92</v>
      </c>
      <c r="F270" s="1">
        <v>8052</v>
      </c>
      <c r="G270" s="1">
        <v>0.106</v>
      </c>
      <c r="H270" s="1">
        <v>16</v>
      </c>
      <c r="I270" s="1">
        <v>94.9</v>
      </c>
      <c r="J270" s="1">
        <v>0.65</v>
      </c>
      <c r="K270" s="1">
        <v>0</v>
      </c>
      <c r="L270" s="1">
        <v>3.6</v>
      </c>
      <c r="M270" s="1">
        <v>660633.99</v>
      </c>
      <c r="N270" s="1">
        <v>118768.66</v>
      </c>
      <c r="O270">
        <f t="shared" si="24"/>
        <v>1</v>
      </c>
      <c r="P270">
        <f t="shared" si="25"/>
        <v>0</v>
      </c>
      <c r="Q270">
        <f t="shared" si="26"/>
        <v>0</v>
      </c>
      <c r="R270">
        <f t="shared" si="27"/>
        <v>0</v>
      </c>
      <c r="S270">
        <f t="shared" si="28"/>
        <v>0</v>
      </c>
      <c r="T270">
        <f t="shared" si="29"/>
        <v>0</v>
      </c>
    </row>
    <row r="271" spans="1:20">
      <c r="A271" s="1" t="s">
        <v>89</v>
      </c>
      <c r="B271" s="3">
        <v>45689</v>
      </c>
      <c r="C271" s="1" t="s">
        <v>15</v>
      </c>
      <c r="D271" s="1" t="s">
        <v>28</v>
      </c>
      <c r="E271" s="1">
        <v>23914.97</v>
      </c>
      <c r="F271" s="1">
        <v>8018</v>
      </c>
      <c r="G271" s="1">
        <v>0.13900000000000001</v>
      </c>
      <c r="H271" s="1">
        <v>20</v>
      </c>
      <c r="I271" s="1">
        <v>89</v>
      </c>
      <c r="J271" s="1">
        <v>0.2</v>
      </c>
      <c r="K271" s="1">
        <v>0</v>
      </c>
      <c r="L271" s="1">
        <v>3.5</v>
      </c>
      <c r="M271" s="1">
        <v>739374.56</v>
      </c>
      <c r="N271" s="1">
        <v>121032.29</v>
      </c>
      <c r="O271">
        <f t="shared" si="24"/>
        <v>1</v>
      </c>
      <c r="P271">
        <f t="shared" si="25"/>
        <v>0</v>
      </c>
      <c r="Q271">
        <f t="shared" si="26"/>
        <v>0</v>
      </c>
      <c r="R271">
        <f t="shared" si="27"/>
        <v>0</v>
      </c>
      <c r="S271">
        <f t="shared" si="28"/>
        <v>0</v>
      </c>
      <c r="T271">
        <f t="shared" si="29"/>
        <v>0</v>
      </c>
    </row>
    <row r="272" spans="1:20">
      <c r="A272" s="1" t="s">
        <v>89</v>
      </c>
      <c r="B272" s="3">
        <v>45717</v>
      </c>
      <c r="C272" s="1" t="s">
        <v>15</v>
      </c>
      <c r="D272" s="1" t="s">
        <v>28</v>
      </c>
      <c r="E272" s="1">
        <v>61995.3</v>
      </c>
      <c r="F272" s="1">
        <v>10192</v>
      </c>
      <c r="G272" s="1">
        <v>0.19800000000000001</v>
      </c>
      <c r="H272" s="1">
        <v>21</v>
      </c>
      <c r="I272" s="1">
        <v>87.6</v>
      </c>
      <c r="J272" s="1">
        <v>3.63</v>
      </c>
      <c r="K272" s="1">
        <v>1</v>
      </c>
      <c r="L272" s="1">
        <v>3.8</v>
      </c>
      <c r="M272" s="1">
        <v>799756.46</v>
      </c>
      <c r="N272" s="1">
        <v>105052.93</v>
      </c>
      <c r="O272">
        <f t="shared" si="24"/>
        <v>1</v>
      </c>
      <c r="P272">
        <f t="shared" si="25"/>
        <v>0</v>
      </c>
      <c r="Q272">
        <f t="shared" si="26"/>
        <v>0</v>
      </c>
      <c r="R272">
        <f t="shared" si="27"/>
        <v>0</v>
      </c>
      <c r="S272">
        <f t="shared" si="28"/>
        <v>0</v>
      </c>
      <c r="T272">
        <f t="shared" si="29"/>
        <v>0</v>
      </c>
    </row>
    <row r="273" spans="1:20">
      <c r="A273" s="1" t="s">
        <v>89</v>
      </c>
      <c r="B273" s="3">
        <v>45748</v>
      </c>
      <c r="C273" s="1" t="s">
        <v>15</v>
      </c>
      <c r="D273" s="1" t="s">
        <v>28</v>
      </c>
      <c r="E273" s="1">
        <v>29344.93</v>
      </c>
      <c r="F273" s="1">
        <v>7446</v>
      </c>
      <c r="G273" s="1">
        <v>0.111</v>
      </c>
      <c r="H273" s="1">
        <v>15</v>
      </c>
      <c r="I273" s="1">
        <v>86.2</v>
      </c>
      <c r="J273" s="1">
        <v>0.2</v>
      </c>
      <c r="K273" s="1">
        <v>0</v>
      </c>
      <c r="L273" s="1">
        <v>3.2</v>
      </c>
      <c r="M273" s="1">
        <v>593343</v>
      </c>
      <c r="N273" s="1">
        <v>82832.240000000005</v>
      </c>
      <c r="O273">
        <f t="shared" si="24"/>
        <v>1</v>
      </c>
      <c r="P273">
        <f t="shared" si="25"/>
        <v>0</v>
      </c>
      <c r="Q273">
        <f t="shared" si="26"/>
        <v>0</v>
      </c>
      <c r="R273">
        <f t="shared" si="27"/>
        <v>0</v>
      </c>
      <c r="S273">
        <f t="shared" si="28"/>
        <v>0</v>
      </c>
      <c r="T273">
        <f t="shared" si="29"/>
        <v>0</v>
      </c>
    </row>
    <row r="274" spans="1:20">
      <c r="A274" s="1" t="s">
        <v>90</v>
      </c>
      <c r="B274" s="3">
        <v>45658</v>
      </c>
      <c r="C274" s="1" t="s">
        <v>27</v>
      </c>
      <c r="D274" s="1" t="s">
        <v>18</v>
      </c>
      <c r="E274" s="1">
        <v>50532.17</v>
      </c>
      <c r="F274" s="1">
        <v>5689</v>
      </c>
      <c r="G274" s="1">
        <v>5.1999999999999998E-2</v>
      </c>
      <c r="H274" s="1">
        <v>17</v>
      </c>
      <c r="I274" s="1">
        <v>85.6</v>
      </c>
      <c r="J274" s="1">
        <v>6.23</v>
      </c>
      <c r="K274" s="1">
        <v>0</v>
      </c>
      <c r="L274" s="1">
        <v>3.3</v>
      </c>
      <c r="M274" s="1">
        <v>645039.97</v>
      </c>
      <c r="N274" s="1">
        <v>83093.33</v>
      </c>
      <c r="O274">
        <f t="shared" si="24"/>
        <v>0</v>
      </c>
      <c r="P274">
        <f t="shared" si="25"/>
        <v>0</v>
      </c>
      <c r="Q274">
        <f t="shared" si="26"/>
        <v>0</v>
      </c>
      <c r="R274">
        <f t="shared" si="27"/>
        <v>0</v>
      </c>
      <c r="S274">
        <f t="shared" si="28"/>
        <v>1</v>
      </c>
      <c r="T274">
        <f t="shared" si="29"/>
        <v>0</v>
      </c>
    </row>
    <row r="275" spans="1:20">
      <c r="A275" s="1" t="s">
        <v>90</v>
      </c>
      <c r="B275" s="3">
        <v>45689</v>
      </c>
      <c r="C275" s="1" t="s">
        <v>27</v>
      </c>
      <c r="D275" s="1" t="s">
        <v>18</v>
      </c>
      <c r="E275" s="1">
        <v>17562.57</v>
      </c>
      <c r="F275" s="1">
        <v>3326</v>
      </c>
      <c r="G275" s="1">
        <v>0.153</v>
      </c>
      <c r="H275" s="1">
        <v>14</v>
      </c>
      <c r="I275" s="1">
        <v>88.1</v>
      </c>
      <c r="J275" s="1">
        <v>1.04</v>
      </c>
      <c r="K275" s="1">
        <v>0</v>
      </c>
      <c r="L275" s="1">
        <v>3.1</v>
      </c>
      <c r="M275" s="1">
        <v>561597.32999999996</v>
      </c>
      <c r="N275" s="1">
        <v>75072.75</v>
      </c>
      <c r="O275">
        <f t="shared" si="24"/>
        <v>0</v>
      </c>
      <c r="P275">
        <f t="shared" si="25"/>
        <v>0</v>
      </c>
      <c r="Q275">
        <f t="shared" si="26"/>
        <v>0</v>
      </c>
      <c r="R275">
        <f t="shared" si="27"/>
        <v>0</v>
      </c>
      <c r="S275">
        <f t="shared" si="28"/>
        <v>1</v>
      </c>
      <c r="T275">
        <f t="shared" si="29"/>
        <v>0</v>
      </c>
    </row>
    <row r="276" spans="1:20">
      <c r="A276" s="1" t="s">
        <v>90</v>
      </c>
      <c r="B276" s="3">
        <v>45717</v>
      </c>
      <c r="C276" s="1" t="s">
        <v>27</v>
      </c>
      <c r="D276" s="1" t="s">
        <v>18</v>
      </c>
      <c r="E276" s="1">
        <v>47648.71</v>
      </c>
      <c r="F276" s="1">
        <v>5767</v>
      </c>
      <c r="G276" s="1">
        <v>0.14099999999999999</v>
      </c>
      <c r="H276" s="1">
        <v>17</v>
      </c>
      <c r="I276" s="1">
        <v>89.8</v>
      </c>
      <c r="J276" s="1">
        <v>1.76</v>
      </c>
      <c r="K276" s="1">
        <v>0</v>
      </c>
      <c r="L276" s="1">
        <v>3.1</v>
      </c>
      <c r="M276" s="1">
        <v>635837.74</v>
      </c>
      <c r="N276" s="1">
        <v>114740.64</v>
      </c>
      <c r="O276">
        <f t="shared" si="24"/>
        <v>0</v>
      </c>
      <c r="P276">
        <f t="shared" si="25"/>
        <v>0</v>
      </c>
      <c r="Q276">
        <f t="shared" si="26"/>
        <v>0</v>
      </c>
      <c r="R276">
        <f t="shared" si="27"/>
        <v>0</v>
      </c>
      <c r="S276">
        <f t="shared" si="28"/>
        <v>1</v>
      </c>
      <c r="T276">
        <f t="shared" si="29"/>
        <v>0</v>
      </c>
    </row>
    <row r="277" spans="1:20">
      <c r="A277" s="1" t="s">
        <v>90</v>
      </c>
      <c r="B277" s="3">
        <v>45748</v>
      </c>
      <c r="C277" s="1" t="s">
        <v>27</v>
      </c>
      <c r="D277" s="1" t="s">
        <v>18</v>
      </c>
      <c r="E277" s="1">
        <v>38297.58</v>
      </c>
      <c r="F277" s="1">
        <v>5893</v>
      </c>
      <c r="G277" s="1">
        <v>0.247</v>
      </c>
      <c r="H277" s="1">
        <v>18</v>
      </c>
      <c r="I277" s="1">
        <v>77.599999999999994</v>
      </c>
      <c r="J277" s="1">
        <v>2.86</v>
      </c>
      <c r="K277" s="1">
        <v>0</v>
      </c>
      <c r="L277" s="1">
        <v>3</v>
      </c>
      <c r="M277" s="1">
        <v>686737.87</v>
      </c>
      <c r="N277" s="1">
        <v>83839.67</v>
      </c>
      <c r="O277">
        <f t="shared" si="24"/>
        <v>0</v>
      </c>
      <c r="P277">
        <f t="shared" si="25"/>
        <v>0</v>
      </c>
      <c r="Q277">
        <f t="shared" si="26"/>
        <v>0</v>
      </c>
      <c r="R277">
        <f t="shared" si="27"/>
        <v>0</v>
      </c>
      <c r="S277">
        <f t="shared" si="28"/>
        <v>1</v>
      </c>
      <c r="T277">
        <f t="shared" si="29"/>
        <v>0</v>
      </c>
    </row>
    <row r="278" spans="1:20">
      <c r="A278" s="1" t="s">
        <v>91</v>
      </c>
      <c r="B278" s="3">
        <v>45658</v>
      </c>
      <c r="C278" s="1" t="s">
        <v>24</v>
      </c>
      <c r="D278" s="1" t="s">
        <v>16</v>
      </c>
      <c r="E278" s="1">
        <v>61784.11</v>
      </c>
      <c r="F278" s="1">
        <v>8564</v>
      </c>
      <c r="G278" s="1">
        <v>0.13</v>
      </c>
      <c r="H278" s="1">
        <v>17</v>
      </c>
      <c r="I278" s="1">
        <v>87.4</v>
      </c>
      <c r="J278" s="1">
        <v>18.14</v>
      </c>
      <c r="K278" s="1">
        <v>1</v>
      </c>
      <c r="L278" s="1">
        <v>3.4</v>
      </c>
      <c r="M278" s="1">
        <v>673076.34</v>
      </c>
      <c r="N278" s="1">
        <v>93899.76</v>
      </c>
      <c r="O278">
        <f t="shared" si="24"/>
        <v>0</v>
      </c>
      <c r="P278">
        <f t="shared" si="25"/>
        <v>0</v>
      </c>
      <c r="Q278">
        <f t="shared" si="26"/>
        <v>1</v>
      </c>
      <c r="R278">
        <f t="shared" si="27"/>
        <v>1</v>
      </c>
      <c r="S278">
        <f t="shared" si="28"/>
        <v>0</v>
      </c>
      <c r="T278">
        <f t="shared" si="29"/>
        <v>0</v>
      </c>
    </row>
    <row r="279" spans="1:20">
      <c r="A279" s="1" t="s">
        <v>91</v>
      </c>
      <c r="B279" s="3">
        <v>45689</v>
      </c>
      <c r="C279" s="1" t="s">
        <v>24</v>
      </c>
      <c r="D279" s="1" t="s">
        <v>16</v>
      </c>
      <c r="E279" s="1">
        <v>36832.33</v>
      </c>
      <c r="F279" s="1">
        <v>8001</v>
      </c>
      <c r="G279" s="1">
        <v>0</v>
      </c>
      <c r="H279" s="1">
        <v>19</v>
      </c>
      <c r="I279" s="1">
        <v>88.7</v>
      </c>
      <c r="J279" s="1">
        <v>3.39</v>
      </c>
      <c r="K279" s="1">
        <v>0</v>
      </c>
      <c r="L279" s="1">
        <v>4</v>
      </c>
      <c r="M279" s="1">
        <v>738548.42</v>
      </c>
      <c r="N279" s="1">
        <v>134282.76999999999</v>
      </c>
      <c r="O279">
        <f t="shared" si="24"/>
        <v>0</v>
      </c>
      <c r="P279">
        <f t="shared" si="25"/>
        <v>0</v>
      </c>
      <c r="Q279">
        <f t="shared" si="26"/>
        <v>1</v>
      </c>
      <c r="R279">
        <f t="shared" si="27"/>
        <v>1</v>
      </c>
      <c r="S279">
        <f t="shared" si="28"/>
        <v>0</v>
      </c>
      <c r="T279">
        <f t="shared" si="29"/>
        <v>0</v>
      </c>
    </row>
    <row r="280" spans="1:20">
      <c r="A280" s="1" t="s">
        <v>91</v>
      </c>
      <c r="B280" s="3">
        <v>45717</v>
      </c>
      <c r="C280" s="1" t="s">
        <v>24</v>
      </c>
      <c r="D280" s="1" t="s">
        <v>16</v>
      </c>
      <c r="E280" s="1">
        <v>48609.41</v>
      </c>
      <c r="F280" s="1">
        <v>9324</v>
      </c>
      <c r="G280" s="1">
        <v>0.21299999999999999</v>
      </c>
      <c r="H280" s="1">
        <v>18</v>
      </c>
      <c r="I280" s="1">
        <v>86.5</v>
      </c>
      <c r="J280" s="1">
        <v>1.44</v>
      </c>
      <c r="K280" s="1">
        <v>0</v>
      </c>
      <c r="L280" s="1">
        <v>3.9</v>
      </c>
      <c r="M280" s="1">
        <v>756619.77</v>
      </c>
      <c r="N280" s="1">
        <v>112057.69</v>
      </c>
      <c r="O280">
        <f t="shared" si="24"/>
        <v>0</v>
      </c>
      <c r="P280">
        <f t="shared" si="25"/>
        <v>0</v>
      </c>
      <c r="Q280">
        <f t="shared" si="26"/>
        <v>1</v>
      </c>
      <c r="R280">
        <f t="shared" si="27"/>
        <v>1</v>
      </c>
      <c r="S280">
        <f t="shared" si="28"/>
        <v>0</v>
      </c>
      <c r="T280">
        <f t="shared" si="29"/>
        <v>0</v>
      </c>
    </row>
    <row r="281" spans="1:20">
      <c r="A281" s="1" t="s">
        <v>91</v>
      </c>
      <c r="B281" s="3">
        <v>45748</v>
      </c>
      <c r="C281" s="1" t="s">
        <v>24</v>
      </c>
      <c r="D281" s="1" t="s">
        <v>16</v>
      </c>
      <c r="E281" s="1">
        <v>70284.06</v>
      </c>
      <c r="F281" s="1">
        <v>9109</v>
      </c>
      <c r="G281" s="1">
        <v>4.0000000000000001E-3</v>
      </c>
      <c r="H281" s="1">
        <v>23</v>
      </c>
      <c r="I281" s="1">
        <v>87</v>
      </c>
      <c r="J281" s="1">
        <v>3.65</v>
      </c>
      <c r="K281" s="1">
        <v>0</v>
      </c>
      <c r="L281" s="1">
        <v>3.7</v>
      </c>
      <c r="M281" s="1">
        <v>761122.42</v>
      </c>
      <c r="N281" s="1">
        <v>149802.04</v>
      </c>
      <c r="O281">
        <f t="shared" si="24"/>
        <v>0</v>
      </c>
      <c r="P281">
        <f t="shared" si="25"/>
        <v>0</v>
      </c>
      <c r="Q281">
        <f t="shared" si="26"/>
        <v>1</v>
      </c>
      <c r="R281">
        <f t="shared" si="27"/>
        <v>1</v>
      </c>
      <c r="S281">
        <f t="shared" si="28"/>
        <v>0</v>
      </c>
      <c r="T281">
        <f t="shared" si="29"/>
        <v>0</v>
      </c>
    </row>
    <row r="282" spans="1:20">
      <c r="A282" s="1" t="s">
        <v>92</v>
      </c>
      <c r="B282" s="3">
        <v>45658</v>
      </c>
      <c r="C282" s="1" t="s">
        <v>24</v>
      </c>
      <c r="D282" s="1" t="s">
        <v>18</v>
      </c>
      <c r="E282" s="1">
        <v>45940.39</v>
      </c>
      <c r="F282" s="1">
        <v>4022</v>
      </c>
      <c r="G282" s="1">
        <v>6.9000000000000006E-2</v>
      </c>
      <c r="H282" s="1">
        <v>10</v>
      </c>
      <c r="I282" s="1">
        <v>83</v>
      </c>
      <c r="J282" s="1">
        <v>1.23</v>
      </c>
      <c r="K282" s="1">
        <v>1</v>
      </c>
      <c r="L282" s="1">
        <v>3.8</v>
      </c>
      <c r="M282" s="1">
        <v>524899.56999999995</v>
      </c>
      <c r="N282" s="1">
        <v>63619.98</v>
      </c>
      <c r="O282">
        <f t="shared" si="24"/>
        <v>0</v>
      </c>
      <c r="P282">
        <f t="shared" si="25"/>
        <v>0</v>
      </c>
      <c r="Q282">
        <f t="shared" si="26"/>
        <v>1</v>
      </c>
      <c r="R282">
        <f t="shared" si="27"/>
        <v>0</v>
      </c>
      <c r="S282">
        <f t="shared" si="28"/>
        <v>1</v>
      </c>
      <c r="T282">
        <f t="shared" si="29"/>
        <v>0</v>
      </c>
    </row>
    <row r="283" spans="1:20">
      <c r="A283" s="1" t="s">
        <v>92</v>
      </c>
      <c r="B283" s="3">
        <v>45689</v>
      </c>
      <c r="C283" s="1" t="s">
        <v>24</v>
      </c>
      <c r="D283" s="1" t="s">
        <v>18</v>
      </c>
      <c r="E283" s="1">
        <v>34771.26</v>
      </c>
      <c r="F283" s="1">
        <v>4355</v>
      </c>
      <c r="G283" s="1">
        <v>5.0999999999999997E-2</v>
      </c>
      <c r="H283" s="1">
        <v>15</v>
      </c>
      <c r="I283" s="1">
        <v>87.9</v>
      </c>
      <c r="J283" s="1">
        <v>3.09</v>
      </c>
      <c r="K283" s="1">
        <v>0</v>
      </c>
      <c r="L283" s="1">
        <v>4</v>
      </c>
      <c r="M283" s="1">
        <v>555557.77</v>
      </c>
      <c r="N283" s="1">
        <v>86475.51</v>
      </c>
      <c r="O283">
        <f t="shared" si="24"/>
        <v>0</v>
      </c>
      <c r="P283">
        <f t="shared" si="25"/>
        <v>0</v>
      </c>
      <c r="Q283">
        <f t="shared" si="26"/>
        <v>1</v>
      </c>
      <c r="R283">
        <f t="shared" si="27"/>
        <v>0</v>
      </c>
      <c r="S283">
        <f t="shared" si="28"/>
        <v>1</v>
      </c>
      <c r="T283">
        <f t="shared" si="29"/>
        <v>0</v>
      </c>
    </row>
    <row r="284" spans="1:20">
      <c r="A284" s="1" t="s">
        <v>92</v>
      </c>
      <c r="B284" s="3">
        <v>45717</v>
      </c>
      <c r="C284" s="1" t="s">
        <v>24</v>
      </c>
      <c r="D284" s="1" t="s">
        <v>18</v>
      </c>
      <c r="E284" s="1">
        <v>66104.19</v>
      </c>
      <c r="F284" s="1">
        <v>5745</v>
      </c>
      <c r="G284" s="1">
        <v>7.0000000000000007E-2</v>
      </c>
      <c r="H284" s="1">
        <v>17</v>
      </c>
      <c r="I284" s="1">
        <v>95.8</v>
      </c>
      <c r="J284" s="1">
        <v>3.15</v>
      </c>
      <c r="K284" s="1">
        <v>0</v>
      </c>
      <c r="L284" s="1">
        <v>4</v>
      </c>
      <c r="M284" s="1">
        <v>714083.68</v>
      </c>
      <c r="N284" s="1">
        <v>127231.74</v>
      </c>
      <c r="O284">
        <f t="shared" si="24"/>
        <v>0</v>
      </c>
      <c r="P284">
        <f t="shared" si="25"/>
        <v>0</v>
      </c>
      <c r="Q284">
        <f t="shared" si="26"/>
        <v>1</v>
      </c>
      <c r="R284">
        <f t="shared" si="27"/>
        <v>0</v>
      </c>
      <c r="S284">
        <f t="shared" si="28"/>
        <v>1</v>
      </c>
      <c r="T284">
        <f t="shared" si="29"/>
        <v>0</v>
      </c>
    </row>
    <row r="285" spans="1:20">
      <c r="A285" s="1" t="s">
        <v>92</v>
      </c>
      <c r="B285" s="3">
        <v>45748</v>
      </c>
      <c r="C285" s="1" t="s">
        <v>24</v>
      </c>
      <c r="D285" s="1" t="s">
        <v>18</v>
      </c>
      <c r="E285" s="1">
        <v>18599.21</v>
      </c>
      <c r="F285" s="1">
        <v>3027</v>
      </c>
      <c r="G285" s="1">
        <v>0.122</v>
      </c>
      <c r="H285" s="1">
        <v>11</v>
      </c>
      <c r="I285" s="1">
        <v>80.900000000000006</v>
      </c>
      <c r="J285" s="1">
        <v>6.44</v>
      </c>
      <c r="K285" s="1">
        <v>0</v>
      </c>
      <c r="L285" s="1">
        <v>4.2</v>
      </c>
      <c r="M285" s="1">
        <v>497439.82</v>
      </c>
      <c r="N285" s="1">
        <v>93372.75</v>
      </c>
      <c r="O285">
        <f t="shared" si="24"/>
        <v>0</v>
      </c>
      <c r="P285">
        <f t="shared" si="25"/>
        <v>0</v>
      </c>
      <c r="Q285">
        <f t="shared" si="26"/>
        <v>1</v>
      </c>
      <c r="R285">
        <f t="shared" si="27"/>
        <v>0</v>
      </c>
      <c r="S285">
        <f t="shared" si="28"/>
        <v>1</v>
      </c>
      <c r="T285">
        <f t="shared" si="29"/>
        <v>0</v>
      </c>
    </row>
    <row r="286" spans="1:20">
      <c r="A286" s="1" t="s">
        <v>93</v>
      </c>
      <c r="B286" s="3">
        <v>45658</v>
      </c>
      <c r="C286" s="1" t="s">
        <v>27</v>
      </c>
      <c r="D286" s="1" t="s">
        <v>16</v>
      </c>
      <c r="E286" s="1">
        <v>60183.06</v>
      </c>
      <c r="F286" s="1">
        <v>5562</v>
      </c>
      <c r="G286" s="1">
        <v>8.9999999999999993E-3</v>
      </c>
      <c r="H286" s="1">
        <v>13</v>
      </c>
      <c r="I286" s="1">
        <v>86.3</v>
      </c>
      <c r="J286" s="1">
        <v>0.2</v>
      </c>
      <c r="K286" s="1">
        <v>1</v>
      </c>
      <c r="L286" s="1">
        <v>4.5</v>
      </c>
      <c r="M286" s="1">
        <v>636775.66</v>
      </c>
      <c r="N286" s="1">
        <v>122636.86</v>
      </c>
      <c r="O286">
        <f t="shared" si="24"/>
        <v>0</v>
      </c>
      <c r="P286">
        <f t="shared" si="25"/>
        <v>0</v>
      </c>
      <c r="Q286">
        <f t="shared" si="26"/>
        <v>0</v>
      </c>
      <c r="R286">
        <f t="shared" si="27"/>
        <v>1</v>
      </c>
      <c r="S286">
        <f t="shared" si="28"/>
        <v>0</v>
      </c>
      <c r="T286">
        <f t="shared" si="29"/>
        <v>0</v>
      </c>
    </row>
    <row r="287" spans="1:20">
      <c r="A287" s="1" t="s">
        <v>93</v>
      </c>
      <c r="B287" s="3">
        <v>45689</v>
      </c>
      <c r="C287" s="1" t="s">
        <v>27</v>
      </c>
      <c r="D287" s="1" t="s">
        <v>16</v>
      </c>
      <c r="E287" s="1">
        <v>74539.14</v>
      </c>
      <c r="F287" s="1">
        <v>4487</v>
      </c>
      <c r="G287" s="1">
        <v>0.14000000000000001</v>
      </c>
      <c r="H287" s="1">
        <v>10</v>
      </c>
      <c r="I287" s="1">
        <v>90.4</v>
      </c>
      <c r="J287" s="1">
        <v>0.59</v>
      </c>
      <c r="K287" s="1">
        <v>0</v>
      </c>
      <c r="L287" s="1">
        <v>4.5</v>
      </c>
      <c r="M287" s="1">
        <v>633009.53</v>
      </c>
      <c r="N287" s="1">
        <v>123782.67</v>
      </c>
      <c r="O287">
        <f t="shared" si="24"/>
        <v>0</v>
      </c>
      <c r="P287">
        <f t="shared" si="25"/>
        <v>0</v>
      </c>
      <c r="Q287">
        <f t="shared" si="26"/>
        <v>0</v>
      </c>
      <c r="R287">
        <f t="shared" si="27"/>
        <v>1</v>
      </c>
      <c r="S287">
        <f t="shared" si="28"/>
        <v>0</v>
      </c>
      <c r="T287">
        <f t="shared" si="29"/>
        <v>0</v>
      </c>
    </row>
    <row r="288" spans="1:20">
      <c r="A288" s="1" t="s">
        <v>93</v>
      </c>
      <c r="B288" s="3">
        <v>45717</v>
      </c>
      <c r="C288" s="1" t="s">
        <v>27</v>
      </c>
      <c r="D288" s="1" t="s">
        <v>16</v>
      </c>
      <c r="E288" s="1">
        <v>55371.97</v>
      </c>
      <c r="F288" s="1">
        <v>4162</v>
      </c>
      <c r="G288" s="1">
        <v>0.183</v>
      </c>
      <c r="H288" s="1">
        <v>11</v>
      </c>
      <c r="I288" s="1">
        <v>92</v>
      </c>
      <c r="J288" s="1">
        <v>0.2</v>
      </c>
      <c r="K288" s="1">
        <v>1</v>
      </c>
      <c r="L288" s="1">
        <v>4.2</v>
      </c>
      <c r="M288" s="1">
        <v>609949</v>
      </c>
      <c r="N288" s="1">
        <v>126789.25</v>
      </c>
      <c r="O288">
        <f t="shared" si="24"/>
        <v>0</v>
      </c>
      <c r="P288">
        <f t="shared" si="25"/>
        <v>0</v>
      </c>
      <c r="Q288">
        <f t="shared" si="26"/>
        <v>0</v>
      </c>
      <c r="R288">
        <f t="shared" si="27"/>
        <v>1</v>
      </c>
      <c r="S288">
        <f t="shared" si="28"/>
        <v>0</v>
      </c>
      <c r="T288">
        <f t="shared" si="29"/>
        <v>0</v>
      </c>
    </row>
    <row r="289" spans="1:20">
      <c r="A289" s="1" t="s">
        <v>93</v>
      </c>
      <c r="B289" s="3">
        <v>45748</v>
      </c>
      <c r="C289" s="1" t="s">
        <v>27</v>
      </c>
      <c r="D289" s="1" t="s">
        <v>16</v>
      </c>
      <c r="E289" s="1">
        <v>40928.69</v>
      </c>
      <c r="F289" s="1">
        <v>4094</v>
      </c>
      <c r="G289" s="1">
        <v>0.17399999999999999</v>
      </c>
      <c r="H289" s="1">
        <v>13</v>
      </c>
      <c r="I289" s="1">
        <v>82.4</v>
      </c>
      <c r="J289" s="1">
        <v>1.36</v>
      </c>
      <c r="K289" s="1">
        <v>0</v>
      </c>
      <c r="L289" s="1">
        <v>4.8</v>
      </c>
      <c r="M289" s="1">
        <v>548103.69999999995</v>
      </c>
      <c r="N289" s="1">
        <v>99905.52</v>
      </c>
      <c r="O289">
        <f t="shared" si="24"/>
        <v>0</v>
      </c>
      <c r="P289">
        <f t="shared" si="25"/>
        <v>0</v>
      </c>
      <c r="Q289">
        <f t="shared" si="26"/>
        <v>0</v>
      </c>
      <c r="R289">
        <f t="shared" si="27"/>
        <v>1</v>
      </c>
      <c r="S289">
        <f t="shared" si="28"/>
        <v>0</v>
      </c>
      <c r="T289">
        <f t="shared" si="29"/>
        <v>0</v>
      </c>
    </row>
    <row r="290" spans="1:20">
      <c r="A290" s="1" t="s">
        <v>94</v>
      </c>
      <c r="B290" s="3">
        <v>45658</v>
      </c>
      <c r="C290" s="1" t="s">
        <v>15</v>
      </c>
      <c r="D290" s="1" t="s">
        <v>16</v>
      </c>
      <c r="E290" s="1">
        <v>70012.41</v>
      </c>
      <c r="F290" s="1">
        <v>8484</v>
      </c>
      <c r="G290" s="1">
        <v>0.27300000000000002</v>
      </c>
      <c r="H290" s="1">
        <v>23</v>
      </c>
      <c r="I290" s="1">
        <v>72.900000000000006</v>
      </c>
      <c r="J290" s="1">
        <v>3.34</v>
      </c>
      <c r="K290" s="1">
        <v>0</v>
      </c>
      <c r="L290" s="1">
        <v>3.7</v>
      </c>
      <c r="M290" s="1">
        <v>729424.42</v>
      </c>
      <c r="N290" s="1">
        <v>75592.28</v>
      </c>
      <c r="O290">
        <f t="shared" si="24"/>
        <v>1</v>
      </c>
      <c r="P290">
        <f t="shared" si="25"/>
        <v>0</v>
      </c>
      <c r="Q290">
        <f t="shared" si="26"/>
        <v>0</v>
      </c>
      <c r="R290">
        <f t="shared" si="27"/>
        <v>1</v>
      </c>
      <c r="S290">
        <f t="shared" si="28"/>
        <v>0</v>
      </c>
      <c r="T290">
        <f t="shared" si="29"/>
        <v>0</v>
      </c>
    </row>
    <row r="291" spans="1:20">
      <c r="A291" s="1" t="s">
        <v>94</v>
      </c>
      <c r="B291" s="3">
        <v>45689</v>
      </c>
      <c r="C291" s="1" t="s">
        <v>15</v>
      </c>
      <c r="D291" s="1" t="s">
        <v>16</v>
      </c>
      <c r="E291" s="1">
        <v>68909.259999999995</v>
      </c>
      <c r="F291" s="1">
        <v>7794</v>
      </c>
      <c r="G291" s="1">
        <v>0.28399999999999997</v>
      </c>
      <c r="H291" s="1">
        <v>22</v>
      </c>
      <c r="I291" s="1">
        <v>89</v>
      </c>
      <c r="J291" s="1">
        <v>0.33</v>
      </c>
      <c r="K291" s="1">
        <v>0</v>
      </c>
      <c r="L291" s="1">
        <v>4</v>
      </c>
      <c r="M291" s="1">
        <v>696261.49</v>
      </c>
      <c r="N291" s="1">
        <v>72455.350000000006</v>
      </c>
      <c r="O291">
        <f t="shared" si="24"/>
        <v>1</v>
      </c>
      <c r="P291">
        <f t="shared" si="25"/>
        <v>0</v>
      </c>
      <c r="Q291">
        <f t="shared" si="26"/>
        <v>0</v>
      </c>
      <c r="R291">
        <f t="shared" si="27"/>
        <v>1</v>
      </c>
      <c r="S291">
        <f t="shared" si="28"/>
        <v>0</v>
      </c>
      <c r="T291">
        <f t="shared" si="29"/>
        <v>0</v>
      </c>
    </row>
    <row r="292" spans="1:20">
      <c r="A292" s="1" t="s">
        <v>94</v>
      </c>
      <c r="B292" s="3">
        <v>45717</v>
      </c>
      <c r="C292" s="1" t="s">
        <v>15</v>
      </c>
      <c r="D292" s="1" t="s">
        <v>16</v>
      </c>
      <c r="E292" s="1">
        <v>56737.3</v>
      </c>
      <c r="F292" s="1">
        <v>8300</v>
      </c>
      <c r="G292" s="1">
        <v>3.2000000000000001E-2</v>
      </c>
      <c r="H292" s="1">
        <v>21</v>
      </c>
      <c r="I292" s="1">
        <v>83.2</v>
      </c>
      <c r="J292" s="1">
        <v>3.44</v>
      </c>
      <c r="K292" s="1">
        <v>1</v>
      </c>
      <c r="L292" s="1">
        <v>4.3</v>
      </c>
      <c r="M292" s="1">
        <v>813316.71</v>
      </c>
      <c r="N292" s="1">
        <v>110077.42</v>
      </c>
      <c r="O292">
        <f t="shared" si="24"/>
        <v>1</v>
      </c>
      <c r="P292">
        <f t="shared" si="25"/>
        <v>0</v>
      </c>
      <c r="Q292">
        <f t="shared" si="26"/>
        <v>0</v>
      </c>
      <c r="R292">
        <f t="shared" si="27"/>
        <v>1</v>
      </c>
      <c r="S292">
        <f t="shared" si="28"/>
        <v>0</v>
      </c>
      <c r="T292">
        <f t="shared" si="29"/>
        <v>0</v>
      </c>
    </row>
    <row r="293" spans="1:20">
      <c r="A293" s="1" t="s">
        <v>94</v>
      </c>
      <c r="B293" s="3">
        <v>45748</v>
      </c>
      <c r="C293" s="1" t="s">
        <v>15</v>
      </c>
      <c r="D293" s="1" t="s">
        <v>16</v>
      </c>
      <c r="E293" s="1">
        <v>54080.91</v>
      </c>
      <c r="F293" s="1">
        <v>7083</v>
      </c>
      <c r="G293" s="1">
        <v>0</v>
      </c>
      <c r="H293" s="1">
        <v>15</v>
      </c>
      <c r="I293" s="1">
        <v>97</v>
      </c>
      <c r="J293" s="1">
        <v>5.33</v>
      </c>
      <c r="K293" s="1">
        <v>0</v>
      </c>
      <c r="L293" s="1">
        <v>4.0999999999999996</v>
      </c>
      <c r="M293" s="1">
        <v>702068.92</v>
      </c>
      <c r="N293" s="1">
        <v>111266.63</v>
      </c>
      <c r="O293">
        <f t="shared" si="24"/>
        <v>1</v>
      </c>
      <c r="P293">
        <f t="shared" si="25"/>
        <v>0</v>
      </c>
      <c r="Q293">
        <f t="shared" si="26"/>
        <v>0</v>
      </c>
      <c r="R293">
        <f t="shared" si="27"/>
        <v>1</v>
      </c>
      <c r="S293">
        <f t="shared" si="28"/>
        <v>0</v>
      </c>
      <c r="T293">
        <f t="shared" si="29"/>
        <v>0</v>
      </c>
    </row>
    <row r="294" spans="1:20">
      <c r="A294" s="1" t="s">
        <v>95</v>
      </c>
      <c r="B294" s="3">
        <v>45658</v>
      </c>
      <c r="C294" s="1" t="s">
        <v>27</v>
      </c>
      <c r="D294" s="1" t="s">
        <v>18</v>
      </c>
      <c r="E294" s="1">
        <v>51996.32</v>
      </c>
      <c r="F294" s="1">
        <v>3834</v>
      </c>
      <c r="G294" s="1">
        <v>9.6000000000000002E-2</v>
      </c>
      <c r="H294" s="1">
        <v>8</v>
      </c>
      <c r="I294" s="1">
        <v>86.7</v>
      </c>
      <c r="J294" s="1">
        <v>6.04</v>
      </c>
      <c r="K294" s="1">
        <v>0</v>
      </c>
      <c r="L294" s="1">
        <v>4.5</v>
      </c>
      <c r="M294" s="1">
        <v>546223.69999999995</v>
      </c>
      <c r="N294" s="1">
        <v>100769.17</v>
      </c>
      <c r="O294">
        <f t="shared" si="24"/>
        <v>0</v>
      </c>
      <c r="P294">
        <f t="shared" si="25"/>
        <v>0</v>
      </c>
      <c r="Q294">
        <f t="shared" si="26"/>
        <v>0</v>
      </c>
      <c r="R294">
        <f t="shared" si="27"/>
        <v>0</v>
      </c>
      <c r="S294">
        <f t="shared" si="28"/>
        <v>1</v>
      </c>
      <c r="T294">
        <f t="shared" si="29"/>
        <v>0</v>
      </c>
    </row>
    <row r="295" spans="1:20">
      <c r="A295" s="1" t="s">
        <v>95</v>
      </c>
      <c r="B295" s="3">
        <v>45689</v>
      </c>
      <c r="C295" s="1" t="s">
        <v>27</v>
      </c>
      <c r="D295" s="1" t="s">
        <v>18</v>
      </c>
      <c r="E295" s="1">
        <v>40102.879999999997</v>
      </c>
      <c r="F295" s="1">
        <v>2358</v>
      </c>
      <c r="G295" s="1">
        <v>0.11899999999999999</v>
      </c>
      <c r="H295" s="1">
        <v>9</v>
      </c>
      <c r="I295" s="1">
        <v>88.7</v>
      </c>
      <c r="J295" s="1">
        <v>1.6</v>
      </c>
      <c r="K295" s="1">
        <v>0</v>
      </c>
      <c r="L295" s="1">
        <v>4.2</v>
      </c>
      <c r="M295" s="1">
        <v>533121.26</v>
      </c>
      <c r="N295" s="1">
        <v>55063.39</v>
      </c>
      <c r="O295">
        <f t="shared" si="24"/>
        <v>0</v>
      </c>
      <c r="P295">
        <f t="shared" si="25"/>
        <v>0</v>
      </c>
      <c r="Q295">
        <f t="shared" si="26"/>
        <v>0</v>
      </c>
      <c r="R295">
        <f t="shared" si="27"/>
        <v>0</v>
      </c>
      <c r="S295">
        <f t="shared" si="28"/>
        <v>1</v>
      </c>
      <c r="T295">
        <f t="shared" si="29"/>
        <v>0</v>
      </c>
    </row>
    <row r="296" spans="1:20">
      <c r="A296" s="1" t="s">
        <v>95</v>
      </c>
      <c r="B296" s="3">
        <v>45717</v>
      </c>
      <c r="C296" s="1" t="s">
        <v>27</v>
      </c>
      <c r="D296" s="1" t="s">
        <v>18</v>
      </c>
      <c r="E296" s="1">
        <v>59825.51</v>
      </c>
      <c r="F296" s="1">
        <v>1231</v>
      </c>
      <c r="G296" s="1">
        <v>0.214</v>
      </c>
      <c r="H296" s="1">
        <v>10</v>
      </c>
      <c r="I296" s="1">
        <v>84.8</v>
      </c>
      <c r="J296" s="1">
        <v>8.9600000000000009</v>
      </c>
      <c r="K296" s="1">
        <v>0</v>
      </c>
      <c r="L296" s="1">
        <v>4.7</v>
      </c>
      <c r="M296" s="1">
        <v>498970.32</v>
      </c>
      <c r="N296" s="1">
        <v>69656.7</v>
      </c>
      <c r="O296">
        <f t="shared" si="24"/>
        <v>0</v>
      </c>
      <c r="P296">
        <f t="shared" si="25"/>
        <v>0</v>
      </c>
      <c r="Q296">
        <f t="shared" si="26"/>
        <v>0</v>
      </c>
      <c r="R296">
        <f t="shared" si="27"/>
        <v>0</v>
      </c>
      <c r="S296">
        <f t="shared" si="28"/>
        <v>1</v>
      </c>
      <c r="T296">
        <f t="shared" si="29"/>
        <v>0</v>
      </c>
    </row>
    <row r="297" spans="1:20">
      <c r="A297" s="1" t="s">
        <v>95</v>
      </c>
      <c r="B297" s="3">
        <v>45748</v>
      </c>
      <c r="C297" s="1" t="s">
        <v>27</v>
      </c>
      <c r="D297" s="1" t="s">
        <v>18</v>
      </c>
      <c r="E297" s="1">
        <v>27398.28</v>
      </c>
      <c r="F297" s="1">
        <v>1723</v>
      </c>
      <c r="G297" s="1">
        <v>0.17100000000000001</v>
      </c>
      <c r="H297" s="1">
        <v>9</v>
      </c>
      <c r="I297" s="1">
        <v>81</v>
      </c>
      <c r="J297" s="1">
        <v>0.74</v>
      </c>
      <c r="K297" s="1">
        <v>0</v>
      </c>
      <c r="L297" s="1">
        <v>4.5999999999999996</v>
      </c>
      <c r="M297" s="1">
        <v>487738.26</v>
      </c>
      <c r="N297" s="1">
        <v>96435.6</v>
      </c>
      <c r="O297">
        <f t="shared" si="24"/>
        <v>0</v>
      </c>
      <c r="P297">
        <f t="shared" si="25"/>
        <v>0</v>
      </c>
      <c r="Q297">
        <f t="shared" si="26"/>
        <v>0</v>
      </c>
      <c r="R297">
        <f t="shared" si="27"/>
        <v>0</v>
      </c>
      <c r="S297">
        <f t="shared" si="28"/>
        <v>1</v>
      </c>
      <c r="T297">
        <f t="shared" si="29"/>
        <v>0</v>
      </c>
    </row>
    <row r="298" spans="1:20">
      <c r="A298" s="1" t="s">
        <v>96</v>
      </c>
      <c r="B298" s="3">
        <v>45658</v>
      </c>
      <c r="C298" s="1" t="s">
        <v>27</v>
      </c>
      <c r="D298" s="1" t="s">
        <v>18</v>
      </c>
      <c r="E298" s="1">
        <v>55599.56</v>
      </c>
      <c r="F298" s="1">
        <v>5896</v>
      </c>
      <c r="G298" s="1">
        <v>3.5999999999999997E-2</v>
      </c>
      <c r="H298" s="1">
        <v>12</v>
      </c>
      <c r="I298" s="1">
        <v>93.1</v>
      </c>
      <c r="J298" s="1">
        <v>6.13</v>
      </c>
      <c r="K298" s="1">
        <v>0</v>
      </c>
      <c r="L298" s="1">
        <v>3.3</v>
      </c>
      <c r="M298" s="1">
        <v>668459.37</v>
      </c>
      <c r="N298" s="1">
        <v>126435.42</v>
      </c>
      <c r="O298">
        <f t="shared" si="24"/>
        <v>0</v>
      </c>
      <c r="P298">
        <f t="shared" si="25"/>
        <v>0</v>
      </c>
      <c r="Q298">
        <f t="shared" si="26"/>
        <v>0</v>
      </c>
      <c r="R298">
        <f t="shared" si="27"/>
        <v>0</v>
      </c>
      <c r="S298">
        <f t="shared" si="28"/>
        <v>1</v>
      </c>
      <c r="T298">
        <f t="shared" si="29"/>
        <v>0</v>
      </c>
    </row>
    <row r="299" spans="1:20">
      <c r="A299" s="1" t="s">
        <v>96</v>
      </c>
      <c r="B299" s="3">
        <v>45689</v>
      </c>
      <c r="C299" s="1" t="s">
        <v>27</v>
      </c>
      <c r="D299" s="1" t="s">
        <v>18</v>
      </c>
      <c r="E299" s="1">
        <v>55477.61</v>
      </c>
      <c r="F299" s="1">
        <v>5903</v>
      </c>
      <c r="G299" s="1">
        <v>0.10199999999999999</v>
      </c>
      <c r="H299" s="1">
        <v>14</v>
      </c>
      <c r="I299" s="1">
        <v>96.2</v>
      </c>
      <c r="J299" s="1">
        <v>1.41</v>
      </c>
      <c r="K299" s="1">
        <v>0</v>
      </c>
      <c r="L299" s="1">
        <v>3.3</v>
      </c>
      <c r="M299" s="1">
        <v>763162.45</v>
      </c>
      <c r="N299" s="1">
        <v>162524.04999999999</v>
      </c>
      <c r="O299">
        <f t="shared" si="24"/>
        <v>0</v>
      </c>
      <c r="P299">
        <f t="shared" si="25"/>
        <v>0</v>
      </c>
      <c r="Q299">
        <f t="shared" si="26"/>
        <v>0</v>
      </c>
      <c r="R299">
        <f t="shared" si="27"/>
        <v>0</v>
      </c>
      <c r="S299">
        <f t="shared" si="28"/>
        <v>1</v>
      </c>
      <c r="T299">
        <f t="shared" si="29"/>
        <v>0</v>
      </c>
    </row>
    <row r="300" spans="1:20">
      <c r="A300" s="1" t="s">
        <v>96</v>
      </c>
      <c r="B300" s="3">
        <v>45717</v>
      </c>
      <c r="C300" s="1" t="s">
        <v>27</v>
      </c>
      <c r="D300" s="1" t="s">
        <v>18</v>
      </c>
      <c r="E300" s="1">
        <v>46174.7</v>
      </c>
      <c r="F300" s="1">
        <v>4898</v>
      </c>
      <c r="G300" s="1">
        <v>0.114</v>
      </c>
      <c r="H300" s="1">
        <v>11</v>
      </c>
      <c r="I300" s="1">
        <v>91.7</v>
      </c>
      <c r="J300" s="1">
        <v>3.75</v>
      </c>
      <c r="K300" s="1">
        <v>0</v>
      </c>
      <c r="L300" s="1">
        <v>3.1</v>
      </c>
      <c r="M300" s="1">
        <v>599017.32999999996</v>
      </c>
      <c r="N300" s="1">
        <v>134009.92000000001</v>
      </c>
      <c r="O300">
        <f t="shared" si="24"/>
        <v>0</v>
      </c>
      <c r="P300">
        <f t="shared" si="25"/>
        <v>0</v>
      </c>
      <c r="Q300">
        <f t="shared" si="26"/>
        <v>0</v>
      </c>
      <c r="R300">
        <f t="shared" si="27"/>
        <v>0</v>
      </c>
      <c r="S300">
        <f t="shared" si="28"/>
        <v>1</v>
      </c>
      <c r="T300">
        <f t="shared" si="29"/>
        <v>0</v>
      </c>
    </row>
    <row r="301" spans="1:20">
      <c r="A301" s="1" t="s">
        <v>96</v>
      </c>
      <c r="B301" s="3">
        <v>45748</v>
      </c>
      <c r="C301" s="1" t="s">
        <v>27</v>
      </c>
      <c r="D301" s="1" t="s">
        <v>18</v>
      </c>
      <c r="E301" s="1">
        <v>24362.98</v>
      </c>
      <c r="F301" s="1">
        <v>1462</v>
      </c>
      <c r="G301" s="1">
        <v>0.11700000000000001</v>
      </c>
      <c r="H301" s="1">
        <v>6</v>
      </c>
      <c r="I301" s="1">
        <v>89.3</v>
      </c>
      <c r="J301" s="1">
        <v>15.06</v>
      </c>
      <c r="K301" s="1">
        <v>0</v>
      </c>
      <c r="L301" s="1">
        <v>3.2</v>
      </c>
      <c r="M301" s="1">
        <v>401582.58</v>
      </c>
      <c r="N301" s="1">
        <v>68454.929999999993</v>
      </c>
      <c r="O301">
        <f t="shared" si="24"/>
        <v>0</v>
      </c>
      <c r="P301">
        <f t="shared" si="25"/>
        <v>0</v>
      </c>
      <c r="Q301">
        <f t="shared" si="26"/>
        <v>0</v>
      </c>
      <c r="R301">
        <f t="shared" si="27"/>
        <v>0</v>
      </c>
      <c r="S301">
        <f t="shared" si="28"/>
        <v>1</v>
      </c>
      <c r="T301">
        <f t="shared" si="29"/>
        <v>0</v>
      </c>
    </row>
    <row r="302" spans="1:20">
      <c r="A302" s="1" t="s">
        <v>97</v>
      </c>
      <c r="B302" s="3">
        <v>45658</v>
      </c>
      <c r="C302" s="1" t="s">
        <v>20</v>
      </c>
      <c r="D302" s="1" t="s">
        <v>28</v>
      </c>
      <c r="E302" s="1">
        <v>40647.67</v>
      </c>
      <c r="F302" s="1">
        <v>8252</v>
      </c>
      <c r="G302" s="1">
        <v>0.14099999999999999</v>
      </c>
      <c r="H302" s="1">
        <v>22</v>
      </c>
      <c r="I302" s="1">
        <v>88.2</v>
      </c>
      <c r="J302" s="1">
        <v>5.07</v>
      </c>
      <c r="K302" s="1">
        <v>1</v>
      </c>
      <c r="L302" s="1">
        <v>4.0999999999999996</v>
      </c>
      <c r="M302" s="1">
        <v>703812.99</v>
      </c>
      <c r="N302" s="1">
        <v>133577.98000000001</v>
      </c>
      <c r="O302">
        <f t="shared" si="24"/>
        <v>0</v>
      </c>
      <c r="P302">
        <f t="shared" si="25"/>
        <v>1</v>
      </c>
      <c r="Q302">
        <f t="shared" si="26"/>
        <v>0</v>
      </c>
      <c r="R302">
        <f t="shared" si="27"/>
        <v>0</v>
      </c>
      <c r="S302">
        <f t="shared" si="28"/>
        <v>0</v>
      </c>
      <c r="T302">
        <f t="shared" si="29"/>
        <v>0</v>
      </c>
    </row>
    <row r="303" spans="1:20">
      <c r="A303" s="1" t="s">
        <v>97</v>
      </c>
      <c r="B303" s="3">
        <v>45689</v>
      </c>
      <c r="C303" s="1" t="s">
        <v>20</v>
      </c>
      <c r="D303" s="1" t="s">
        <v>28</v>
      </c>
      <c r="E303" s="1">
        <v>63986.98</v>
      </c>
      <c r="F303" s="1">
        <v>7989</v>
      </c>
      <c r="G303" s="1">
        <v>7.3999999999999996E-2</v>
      </c>
      <c r="H303" s="1">
        <v>20</v>
      </c>
      <c r="I303" s="1">
        <v>83.3</v>
      </c>
      <c r="J303" s="1">
        <v>3.6</v>
      </c>
      <c r="K303" s="1">
        <v>0</v>
      </c>
      <c r="L303" s="1">
        <v>3.7</v>
      </c>
      <c r="M303" s="1">
        <v>724346.73</v>
      </c>
      <c r="N303" s="1">
        <v>155013.91</v>
      </c>
      <c r="O303">
        <f t="shared" si="24"/>
        <v>0</v>
      </c>
      <c r="P303">
        <f t="shared" si="25"/>
        <v>1</v>
      </c>
      <c r="Q303">
        <f t="shared" si="26"/>
        <v>0</v>
      </c>
      <c r="R303">
        <f t="shared" si="27"/>
        <v>0</v>
      </c>
      <c r="S303">
        <f t="shared" si="28"/>
        <v>0</v>
      </c>
      <c r="T303">
        <f t="shared" si="29"/>
        <v>0</v>
      </c>
    </row>
    <row r="304" spans="1:20">
      <c r="A304" s="1" t="s">
        <v>97</v>
      </c>
      <c r="B304" s="3">
        <v>45717</v>
      </c>
      <c r="C304" s="1" t="s">
        <v>20</v>
      </c>
      <c r="D304" s="1" t="s">
        <v>28</v>
      </c>
      <c r="E304" s="1">
        <v>52843.75</v>
      </c>
      <c r="F304" s="1">
        <v>8268</v>
      </c>
      <c r="G304" s="1">
        <v>0.13800000000000001</v>
      </c>
      <c r="H304" s="1">
        <v>19</v>
      </c>
      <c r="I304" s="1">
        <v>87.3</v>
      </c>
      <c r="J304" s="1">
        <v>4.3899999999999997</v>
      </c>
      <c r="K304" s="1">
        <v>1</v>
      </c>
      <c r="L304" s="1">
        <v>4.7</v>
      </c>
      <c r="M304" s="1">
        <v>730890.01</v>
      </c>
      <c r="N304" s="1">
        <v>105502.56</v>
      </c>
      <c r="O304">
        <f t="shared" si="24"/>
        <v>0</v>
      </c>
      <c r="P304">
        <f t="shared" si="25"/>
        <v>1</v>
      </c>
      <c r="Q304">
        <f t="shared" si="26"/>
        <v>0</v>
      </c>
      <c r="R304">
        <f t="shared" si="27"/>
        <v>0</v>
      </c>
      <c r="S304">
        <f t="shared" si="28"/>
        <v>0</v>
      </c>
      <c r="T304">
        <f t="shared" si="29"/>
        <v>0</v>
      </c>
    </row>
    <row r="305" spans="1:20">
      <c r="A305" s="1" t="s">
        <v>97</v>
      </c>
      <c r="B305" s="3">
        <v>45748</v>
      </c>
      <c r="C305" s="1" t="s">
        <v>20</v>
      </c>
      <c r="D305" s="1" t="s">
        <v>28</v>
      </c>
      <c r="E305" s="1">
        <v>31997.25</v>
      </c>
      <c r="F305" s="1">
        <v>8183</v>
      </c>
      <c r="G305" s="1">
        <v>0.19800000000000001</v>
      </c>
      <c r="H305" s="1">
        <v>18</v>
      </c>
      <c r="I305" s="1">
        <v>93</v>
      </c>
      <c r="J305" s="1">
        <v>2.79</v>
      </c>
      <c r="K305" s="1">
        <v>0</v>
      </c>
      <c r="L305" s="1">
        <v>4.2</v>
      </c>
      <c r="M305" s="1">
        <v>780580.95</v>
      </c>
      <c r="N305" s="1">
        <v>138144.46</v>
      </c>
      <c r="O305">
        <f t="shared" si="24"/>
        <v>0</v>
      </c>
      <c r="P305">
        <f t="shared" si="25"/>
        <v>1</v>
      </c>
      <c r="Q305">
        <f t="shared" si="26"/>
        <v>0</v>
      </c>
      <c r="R305">
        <f t="shared" si="27"/>
        <v>0</v>
      </c>
      <c r="S305">
        <f t="shared" si="28"/>
        <v>0</v>
      </c>
      <c r="T305">
        <f t="shared" si="29"/>
        <v>0</v>
      </c>
    </row>
    <row r="306" spans="1:20">
      <c r="A306" s="1" t="s">
        <v>98</v>
      </c>
      <c r="B306" s="3">
        <v>45658</v>
      </c>
      <c r="C306" s="1" t="s">
        <v>24</v>
      </c>
      <c r="D306" s="1" t="s">
        <v>16</v>
      </c>
      <c r="E306" s="1">
        <v>54948.02</v>
      </c>
      <c r="F306" s="1">
        <v>6534</v>
      </c>
      <c r="G306" s="1">
        <v>0.183</v>
      </c>
      <c r="H306" s="1">
        <v>14</v>
      </c>
      <c r="I306" s="1">
        <v>94.5</v>
      </c>
      <c r="J306" s="1">
        <v>1.56</v>
      </c>
      <c r="K306" s="1">
        <v>0</v>
      </c>
      <c r="L306" s="1">
        <v>4</v>
      </c>
      <c r="M306" s="1">
        <v>727957.48</v>
      </c>
      <c r="N306" s="1">
        <v>74805.23</v>
      </c>
      <c r="O306">
        <f t="shared" si="24"/>
        <v>0</v>
      </c>
      <c r="P306">
        <f t="shared" si="25"/>
        <v>0</v>
      </c>
      <c r="Q306">
        <f t="shared" si="26"/>
        <v>1</v>
      </c>
      <c r="R306">
        <f t="shared" si="27"/>
        <v>1</v>
      </c>
      <c r="S306">
        <f t="shared" si="28"/>
        <v>0</v>
      </c>
      <c r="T306">
        <f t="shared" si="29"/>
        <v>0</v>
      </c>
    </row>
    <row r="307" spans="1:20">
      <c r="A307" s="1" t="s">
        <v>98</v>
      </c>
      <c r="B307" s="3">
        <v>45689</v>
      </c>
      <c r="C307" s="1" t="s">
        <v>24</v>
      </c>
      <c r="D307" s="1" t="s">
        <v>16</v>
      </c>
      <c r="E307" s="1">
        <v>46146.239999999998</v>
      </c>
      <c r="F307" s="1">
        <v>5804</v>
      </c>
      <c r="G307" s="1">
        <v>4.7E-2</v>
      </c>
      <c r="H307" s="1">
        <v>16</v>
      </c>
      <c r="I307" s="1">
        <v>86.9</v>
      </c>
      <c r="J307" s="1">
        <v>15.82</v>
      </c>
      <c r="K307" s="1">
        <v>0</v>
      </c>
      <c r="L307" s="1">
        <v>3.8</v>
      </c>
      <c r="M307" s="1">
        <v>538376</v>
      </c>
      <c r="N307" s="1">
        <v>87605.62</v>
      </c>
      <c r="O307">
        <f t="shared" si="24"/>
        <v>0</v>
      </c>
      <c r="P307">
        <f t="shared" si="25"/>
        <v>0</v>
      </c>
      <c r="Q307">
        <f t="shared" si="26"/>
        <v>1</v>
      </c>
      <c r="R307">
        <f t="shared" si="27"/>
        <v>1</v>
      </c>
      <c r="S307">
        <f t="shared" si="28"/>
        <v>0</v>
      </c>
      <c r="T307">
        <f t="shared" si="29"/>
        <v>0</v>
      </c>
    </row>
    <row r="308" spans="1:20">
      <c r="A308" s="1" t="s">
        <v>98</v>
      </c>
      <c r="B308" s="3">
        <v>45717</v>
      </c>
      <c r="C308" s="1" t="s">
        <v>24</v>
      </c>
      <c r="D308" s="1" t="s">
        <v>16</v>
      </c>
      <c r="E308" s="1">
        <v>22387.26</v>
      </c>
      <c r="F308" s="1">
        <v>6301</v>
      </c>
      <c r="G308" s="1">
        <v>0.14599999999999999</v>
      </c>
      <c r="H308" s="1">
        <v>14</v>
      </c>
      <c r="I308" s="1">
        <v>85.9</v>
      </c>
      <c r="J308" s="1">
        <v>1.17</v>
      </c>
      <c r="K308" s="1">
        <v>1</v>
      </c>
      <c r="L308" s="1">
        <v>3.7</v>
      </c>
      <c r="M308" s="1">
        <v>665342.49</v>
      </c>
      <c r="N308" s="1">
        <v>93441.81</v>
      </c>
      <c r="O308">
        <f t="shared" si="24"/>
        <v>0</v>
      </c>
      <c r="P308">
        <f t="shared" si="25"/>
        <v>0</v>
      </c>
      <c r="Q308">
        <f t="shared" si="26"/>
        <v>1</v>
      </c>
      <c r="R308">
        <f t="shared" si="27"/>
        <v>1</v>
      </c>
      <c r="S308">
        <f t="shared" si="28"/>
        <v>0</v>
      </c>
      <c r="T308">
        <f t="shared" si="29"/>
        <v>0</v>
      </c>
    </row>
    <row r="309" spans="1:20">
      <c r="A309" s="1" t="s">
        <v>98</v>
      </c>
      <c r="B309" s="3">
        <v>45748</v>
      </c>
      <c r="C309" s="1" t="s">
        <v>24</v>
      </c>
      <c r="D309" s="1" t="s">
        <v>16</v>
      </c>
      <c r="E309" s="1">
        <v>60684.05</v>
      </c>
      <c r="F309" s="1">
        <v>6399</v>
      </c>
      <c r="G309" s="1">
        <v>7.4999999999999997E-2</v>
      </c>
      <c r="H309" s="1">
        <v>16</v>
      </c>
      <c r="I309" s="1">
        <v>99</v>
      </c>
      <c r="J309" s="1">
        <v>3.82</v>
      </c>
      <c r="K309" s="1">
        <v>0</v>
      </c>
      <c r="L309" s="1">
        <v>3.5</v>
      </c>
      <c r="M309" s="1">
        <v>651164.18000000005</v>
      </c>
      <c r="N309" s="1">
        <v>109466.5</v>
      </c>
      <c r="O309">
        <f t="shared" si="24"/>
        <v>0</v>
      </c>
      <c r="P309">
        <f t="shared" si="25"/>
        <v>0</v>
      </c>
      <c r="Q309">
        <f t="shared" si="26"/>
        <v>1</v>
      </c>
      <c r="R309">
        <f t="shared" si="27"/>
        <v>1</v>
      </c>
      <c r="S309">
        <f t="shared" si="28"/>
        <v>0</v>
      </c>
      <c r="T309">
        <f t="shared" si="29"/>
        <v>0</v>
      </c>
    </row>
    <row r="310" spans="1:20">
      <c r="A310" s="1" t="s">
        <v>99</v>
      </c>
      <c r="B310" s="3">
        <v>45658</v>
      </c>
      <c r="C310" s="1" t="s">
        <v>24</v>
      </c>
      <c r="D310" s="1" t="s">
        <v>18</v>
      </c>
      <c r="E310" s="1">
        <v>48465.599999999999</v>
      </c>
      <c r="F310" s="1">
        <v>5759</v>
      </c>
      <c r="G310" s="1">
        <v>0.154</v>
      </c>
      <c r="H310" s="1">
        <v>13</v>
      </c>
      <c r="I310" s="1">
        <v>87.5</v>
      </c>
      <c r="J310" s="1">
        <v>4.1399999999999997</v>
      </c>
      <c r="K310" s="1">
        <v>0</v>
      </c>
      <c r="L310" s="1">
        <v>4</v>
      </c>
      <c r="M310" s="1">
        <v>628538.30000000005</v>
      </c>
      <c r="N310" s="1">
        <v>112509.15</v>
      </c>
      <c r="O310">
        <f t="shared" si="24"/>
        <v>0</v>
      </c>
      <c r="P310">
        <f t="shared" si="25"/>
        <v>0</v>
      </c>
      <c r="Q310">
        <f t="shared" si="26"/>
        <v>1</v>
      </c>
      <c r="R310">
        <f t="shared" si="27"/>
        <v>0</v>
      </c>
      <c r="S310">
        <f t="shared" si="28"/>
        <v>1</v>
      </c>
      <c r="T310">
        <f t="shared" si="29"/>
        <v>0</v>
      </c>
    </row>
    <row r="311" spans="1:20">
      <c r="A311" s="1" t="s">
        <v>99</v>
      </c>
      <c r="B311" s="3">
        <v>45689</v>
      </c>
      <c r="C311" s="1" t="s">
        <v>24</v>
      </c>
      <c r="D311" s="1" t="s">
        <v>18</v>
      </c>
      <c r="E311" s="1">
        <v>23702.38</v>
      </c>
      <c r="F311" s="1">
        <v>5285</v>
      </c>
      <c r="G311" s="1">
        <v>0.16700000000000001</v>
      </c>
      <c r="H311" s="1">
        <v>14</v>
      </c>
      <c r="I311" s="1">
        <v>79.7</v>
      </c>
      <c r="J311" s="1">
        <v>1.1000000000000001</v>
      </c>
      <c r="K311" s="1">
        <v>0</v>
      </c>
      <c r="L311" s="1">
        <v>4.3</v>
      </c>
      <c r="M311" s="1">
        <v>536524.84</v>
      </c>
      <c r="N311" s="1">
        <v>92752.94</v>
      </c>
      <c r="O311">
        <f t="shared" si="24"/>
        <v>0</v>
      </c>
      <c r="P311">
        <f t="shared" si="25"/>
        <v>0</v>
      </c>
      <c r="Q311">
        <f t="shared" si="26"/>
        <v>1</v>
      </c>
      <c r="R311">
        <f t="shared" si="27"/>
        <v>0</v>
      </c>
      <c r="S311">
        <f t="shared" si="28"/>
        <v>1</v>
      </c>
      <c r="T311">
        <f t="shared" si="29"/>
        <v>0</v>
      </c>
    </row>
    <row r="312" spans="1:20">
      <c r="A312" s="1" t="s">
        <v>99</v>
      </c>
      <c r="B312" s="3">
        <v>45717</v>
      </c>
      <c r="C312" s="1" t="s">
        <v>24</v>
      </c>
      <c r="D312" s="1" t="s">
        <v>18</v>
      </c>
      <c r="E312" s="1">
        <v>54322.94</v>
      </c>
      <c r="F312" s="1">
        <v>5434</v>
      </c>
      <c r="G312" s="1">
        <v>0.2</v>
      </c>
      <c r="H312" s="1">
        <v>13</v>
      </c>
      <c r="I312" s="1">
        <v>85.7</v>
      </c>
      <c r="J312" s="1">
        <v>10.6</v>
      </c>
      <c r="K312" s="1">
        <v>0</v>
      </c>
      <c r="L312" s="1">
        <v>4.2</v>
      </c>
      <c r="M312" s="1">
        <v>621677.30000000005</v>
      </c>
      <c r="N312" s="1">
        <v>105192.52</v>
      </c>
      <c r="O312">
        <f t="shared" si="24"/>
        <v>0</v>
      </c>
      <c r="P312">
        <f t="shared" si="25"/>
        <v>0</v>
      </c>
      <c r="Q312">
        <f t="shared" si="26"/>
        <v>1</v>
      </c>
      <c r="R312">
        <f t="shared" si="27"/>
        <v>0</v>
      </c>
      <c r="S312">
        <f t="shared" si="28"/>
        <v>1</v>
      </c>
      <c r="T312">
        <f t="shared" si="29"/>
        <v>0</v>
      </c>
    </row>
    <row r="313" spans="1:20">
      <c r="A313" s="1" t="s">
        <v>99</v>
      </c>
      <c r="B313" s="3">
        <v>45748</v>
      </c>
      <c r="C313" s="1" t="s">
        <v>24</v>
      </c>
      <c r="D313" s="1" t="s">
        <v>18</v>
      </c>
      <c r="E313" s="1">
        <v>86026.58</v>
      </c>
      <c r="F313" s="1">
        <v>7479</v>
      </c>
      <c r="G313" s="1">
        <v>0.14199999999999999</v>
      </c>
      <c r="H313" s="1">
        <v>20</v>
      </c>
      <c r="I313" s="1">
        <v>89</v>
      </c>
      <c r="J313" s="1">
        <v>0.9</v>
      </c>
      <c r="K313" s="1">
        <v>0</v>
      </c>
      <c r="L313" s="1"/>
      <c r="M313" s="1">
        <v>771129.07</v>
      </c>
      <c r="N313" s="1">
        <v>116851.13</v>
      </c>
      <c r="O313">
        <f t="shared" si="24"/>
        <v>0</v>
      </c>
      <c r="P313">
        <f t="shared" si="25"/>
        <v>0</v>
      </c>
      <c r="Q313">
        <f t="shared" si="26"/>
        <v>1</v>
      </c>
      <c r="R313">
        <f t="shared" si="27"/>
        <v>0</v>
      </c>
      <c r="S313">
        <f t="shared" si="28"/>
        <v>1</v>
      </c>
      <c r="T313">
        <f t="shared" si="29"/>
        <v>0</v>
      </c>
    </row>
    <row r="314" spans="1:20">
      <c r="A314" s="1" t="s">
        <v>100</v>
      </c>
      <c r="B314" s="3">
        <v>45658</v>
      </c>
      <c r="C314" s="1" t="s">
        <v>20</v>
      </c>
      <c r="D314" s="1" t="s">
        <v>16</v>
      </c>
      <c r="E314" s="1">
        <v>78967.520000000004</v>
      </c>
      <c r="F314" s="1">
        <v>6164</v>
      </c>
      <c r="G314" s="1">
        <v>2.1000000000000001E-2</v>
      </c>
      <c r="H314" s="1">
        <v>16</v>
      </c>
      <c r="I314" s="1">
        <v>85.5</v>
      </c>
      <c r="J314" s="1">
        <v>0.2</v>
      </c>
      <c r="K314" s="1">
        <v>0</v>
      </c>
      <c r="L314" s="1">
        <v>3.4</v>
      </c>
      <c r="M314" s="1">
        <v>702052.47</v>
      </c>
      <c r="N314" s="1">
        <v>121732.51</v>
      </c>
      <c r="O314">
        <f t="shared" si="24"/>
        <v>0</v>
      </c>
      <c r="P314">
        <f t="shared" si="25"/>
        <v>1</v>
      </c>
      <c r="Q314">
        <f t="shared" si="26"/>
        <v>0</v>
      </c>
      <c r="R314">
        <f t="shared" si="27"/>
        <v>1</v>
      </c>
      <c r="S314">
        <f t="shared" si="28"/>
        <v>0</v>
      </c>
      <c r="T314">
        <f t="shared" si="29"/>
        <v>0</v>
      </c>
    </row>
    <row r="315" spans="1:20">
      <c r="A315" s="1" t="s">
        <v>100</v>
      </c>
      <c r="B315" s="3">
        <v>45689</v>
      </c>
      <c r="C315" s="1" t="s">
        <v>20</v>
      </c>
      <c r="D315" s="1" t="s">
        <v>16</v>
      </c>
      <c r="E315" s="1">
        <v>46767.99</v>
      </c>
      <c r="F315" s="1">
        <v>7973</v>
      </c>
      <c r="G315" s="1">
        <v>0.183</v>
      </c>
      <c r="H315" s="1">
        <v>18</v>
      </c>
      <c r="I315" s="1">
        <v>94.8</v>
      </c>
      <c r="J315" s="1">
        <v>4.67</v>
      </c>
      <c r="K315" s="1">
        <v>0</v>
      </c>
      <c r="L315" s="1"/>
      <c r="M315" s="1">
        <v>688368.46</v>
      </c>
      <c r="N315" s="1">
        <v>93588.42</v>
      </c>
      <c r="O315">
        <f t="shared" si="24"/>
        <v>0</v>
      </c>
      <c r="P315">
        <f t="shared" si="25"/>
        <v>1</v>
      </c>
      <c r="Q315">
        <f t="shared" si="26"/>
        <v>0</v>
      </c>
      <c r="R315">
        <f t="shared" si="27"/>
        <v>1</v>
      </c>
      <c r="S315">
        <f t="shared" si="28"/>
        <v>0</v>
      </c>
      <c r="T315">
        <f t="shared" si="29"/>
        <v>0</v>
      </c>
    </row>
    <row r="316" spans="1:20">
      <c r="A316" s="1" t="s">
        <v>100</v>
      </c>
      <c r="B316" s="3">
        <v>45717</v>
      </c>
      <c r="C316" s="1" t="s">
        <v>20</v>
      </c>
      <c r="D316" s="1" t="s">
        <v>16</v>
      </c>
      <c r="E316" s="1">
        <v>62507.16</v>
      </c>
      <c r="F316" s="1">
        <v>6000</v>
      </c>
      <c r="G316" s="1">
        <v>9.0999999999999998E-2</v>
      </c>
      <c r="H316" s="1">
        <v>14</v>
      </c>
      <c r="I316" s="1">
        <v>98.2</v>
      </c>
      <c r="J316" s="1">
        <v>4.38</v>
      </c>
      <c r="K316" s="1">
        <v>1</v>
      </c>
      <c r="L316" s="1">
        <v>3.9</v>
      </c>
      <c r="M316" s="1">
        <v>712375.77</v>
      </c>
      <c r="N316" s="1">
        <v>104171.53</v>
      </c>
      <c r="O316">
        <f t="shared" si="24"/>
        <v>0</v>
      </c>
      <c r="P316">
        <f t="shared" si="25"/>
        <v>1</v>
      </c>
      <c r="Q316">
        <f t="shared" si="26"/>
        <v>0</v>
      </c>
      <c r="R316">
        <f t="shared" si="27"/>
        <v>1</v>
      </c>
      <c r="S316">
        <f t="shared" si="28"/>
        <v>0</v>
      </c>
      <c r="T316">
        <f t="shared" si="29"/>
        <v>0</v>
      </c>
    </row>
    <row r="317" spans="1:20">
      <c r="A317" s="1" t="s">
        <v>100</v>
      </c>
      <c r="B317" s="3">
        <v>45748</v>
      </c>
      <c r="C317" s="1" t="s">
        <v>20</v>
      </c>
      <c r="D317" s="1" t="s">
        <v>16</v>
      </c>
      <c r="E317" s="1">
        <v>66456.28</v>
      </c>
      <c r="F317" s="1">
        <v>9967</v>
      </c>
      <c r="G317" s="1">
        <v>0.108</v>
      </c>
      <c r="H317" s="1">
        <v>20</v>
      </c>
      <c r="I317" s="1">
        <v>94.7</v>
      </c>
      <c r="J317" s="1">
        <v>4.4800000000000004</v>
      </c>
      <c r="K317" s="1">
        <v>0</v>
      </c>
      <c r="L317" s="1">
        <v>4.2</v>
      </c>
      <c r="M317" s="1">
        <v>844710.67</v>
      </c>
      <c r="N317" s="1">
        <v>137140.18</v>
      </c>
      <c r="O317">
        <f t="shared" si="24"/>
        <v>0</v>
      </c>
      <c r="P317">
        <f t="shared" si="25"/>
        <v>1</v>
      </c>
      <c r="Q317">
        <f t="shared" si="26"/>
        <v>0</v>
      </c>
      <c r="R317">
        <f t="shared" si="27"/>
        <v>1</v>
      </c>
      <c r="S317">
        <f t="shared" si="28"/>
        <v>0</v>
      </c>
      <c r="T317">
        <f t="shared" si="29"/>
        <v>0</v>
      </c>
    </row>
    <row r="318" spans="1:20">
      <c r="A318" s="1" t="s">
        <v>101</v>
      </c>
      <c r="B318" s="3">
        <v>45658</v>
      </c>
      <c r="C318" s="1" t="s">
        <v>15</v>
      </c>
      <c r="D318" s="1" t="s">
        <v>16</v>
      </c>
      <c r="E318" s="1">
        <v>76614.320000000007</v>
      </c>
      <c r="F318" s="1">
        <v>5639</v>
      </c>
      <c r="G318" s="1">
        <v>0.17399999999999999</v>
      </c>
      <c r="H318" s="1">
        <v>15</v>
      </c>
      <c r="I318" s="1">
        <v>92.9</v>
      </c>
      <c r="J318" s="1">
        <v>1.02</v>
      </c>
      <c r="K318" s="1">
        <v>1</v>
      </c>
      <c r="L318" s="1">
        <v>4</v>
      </c>
      <c r="M318" s="1">
        <v>620264.19999999995</v>
      </c>
      <c r="N318" s="1">
        <v>91365.64</v>
      </c>
      <c r="O318">
        <f t="shared" si="24"/>
        <v>1</v>
      </c>
      <c r="P318">
        <f t="shared" si="25"/>
        <v>0</v>
      </c>
      <c r="Q318">
        <f t="shared" si="26"/>
        <v>0</v>
      </c>
      <c r="R318">
        <f t="shared" si="27"/>
        <v>1</v>
      </c>
      <c r="S318">
        <f t="shared" si="28"/>
        <v>0</v>
      </c>
      <c r="T318">
        <f t="shared" si="29"/>
        <v>0</v>
      </c>
    </row>
    <row r="319" spans="1:20">
      <c r="A319" s="1" t="s">
        <v>101</v>
      </c>
      <c r="B319" s="3">
        <v>45689</v>
      </c>
      <c r="C319" s="1" t="s">
        <v>15</v>
      </c>
      <c r="D319" s="1" t="s">
        <v>16</v>
      </c>
      <c r="E319" s="1">
        <v>24088.06</v>
      </c>
      <c r="F319" s="1">
        <v>3466</v>
      </c>
      <c r="G319" s="1">
        <v>0</v>
      </c>
      <c r="H319" s="1">
        <v>11</v>
      </c>
      <c r="I319" s="1">
        <v>88</v>
      </c>
      <c r="J319" s="1">
        <v>0.2</v>
      </c>
      <c r="K319" s="1">
        <v>0</v>
      </c>
      <c r="L319" s="1">
        <v>3.8</v>
      </c>
      <c r="M319" s="1">
        <v>536845.42000000004</v>
      </c>
      <c r="N319" s="1">
        <v>107473.75</v>
      </c>
      <c r="O319">
        <f t="shared" si="24"/>
        <v>1</v>
      </c>
      <c r="P319">
        <f t="shared" si="25"/>
        <v>0</v>
      </c>
      <c r="Q319">
        <f t="shared" si="26"/>
        <v>0</v>
      </c>
      <c r="R319">
        <f t="shared" si="27"/>
        <v>1</v>
      </c>
      <c r="S319">
        <f t="shared" si="28"/>
        <v>0</v>
      </c>
      <c r="T319">
        <f t="shared" si="29"/>
        <v>0</v>
      </c>
    </row>
    <row r="320" spans="1:20">
      <c r="A320" s="1" t="s">
        <v>101</v>
      </c>
      <c r="B320" s="3">
        <v>45717</v>
      </c>
      <c r="C320" s="1" t="s">
        <v>15</v>
      </c>
      <c r="D320" s="1" t="s">
        <v>16</v>
      </c>
      <c r="E320" s="1">
        <v>81902.58</v>
      </c>
      <c r="F320" s="1">
        <v>7775</v>
      </c>
      <c r="G320" s="1">
        <v>0.215</v>
      </c>
      <c r="H320" s="1">
        <v>20</v>
      </c>
      <c r="I320" s="1">
        <v>85.2</v>
      </c>
      <c r="J320" s="1">
        <v>4.8899999999999997</v>
      </c>
      <c r="K320" s="1">
        <v>1</v>
      </c>
      <c r="L320" s="1">
        <v>4.2</v>
      </c>
      <c r="M320" s="1">
        <v>726776.22</v>
      </c>
      <c r="N320" s="1">
        <v>90804.49</v>
      </c>
      <c r="O320">
        <f t="shared" si="24"/>
        <v>1</v>
      </c>
      <c r="P320">
        <f t="shared" si="25"/>
        <v>0</v>
      </c>
      <c r="Q320">
        <f t="shared" si="26"/>
        <v>0</v>
      </c>
      <c r="R320">
        <f t="shared" si="27"/>
        <v>1</v>
      </c>
      <c r="S320">
        <f t="shared" si="28"/>
        <v>0</v>
      </c>
      <c r="T320">
        <f t="shared" si="29"/>
        <v>0</v>
      </c>
    </row>
    <row r="321" spans="1:20">
      <c r="A321" s="1" t="s">
        <v>101</v>
      </c>
      <c r="B321" s="3">
        <v>45748</v>
      </c>
      <c r="C321" s="1" t="s">
        <v>15</v>
      </c>
      <c r="D321" s="1" t="s">
        <v>16</v>
      </c>
      <c r="E321" s="1">
        <v>40553.11</v>
      </c>
      <c r="F321" s="1">
        <v>5317</v>
      </c>
      <c r="G321" s="1">
        <v>0.16500000000000001</v>
      </c>
      <c r="H321" s="1">
        <v>17</v>
      </c>
      <c r="I321" s="1">
        <v>84.3</v>
      </c>
      <c r="J321" s="1">
        <v>11.82</v>
      </c>
      <c r="K321" s="1">
        <v>0</v>
      </c>
      <c r="L321" s="1">
        <v>4.0999999999999996</v>
      </c>
      <c r="M321" s="1">
        <v>559660.84</v>
      </c>
      <c r="N321" s="1">
        <v>71443.61</v>
      </c>
      <c r="O321">
        <f t="shared" si="24"/>
        <v>1</v>
      </c>
      <c r="P321">
        <f t="shared" si="25"/>
        <v>0</v>
      </c>
      <c r="Q321">
        <f t="shared" si="26"/>
        <v>0</v>
      </c>
      <c r="R321">
        <f t="shared" si="27"/>
        <v>1</v>
      </c>
      <c r="S321">
        <f t="shared" si="28"/>
        <v>0</v>
      </c>
      <c r="T321">
        <f t="shared" si="29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A700B-9CB6-4778-8C66-D28F844E63BE}">
  <dimension ref="A1:I18"/>
  <sheetViews>
    <sheetView topLeftCell="A2" workbookViewId="0">
      <selection activeCell="L12" sqref="L12"/>
    </sheetView>
  </sheetViews>
  <sheetFormatPr defaultRowHeight="14.5"/>
  <cols>
    <col min="1" max="1" width="16.36328125" customWidth="1"/>
    <col min="2" max="2" width="12.81640625" customWidth="1"/>
    <col min="3" max="3" width="14.7265625" customWidth="1"/>
    <col min="4" max="4" width="13.26953125" customWidth="1"/>
    <col min="5" max="5" width="15.26953125" customWidth="1"/>
    <col min="6" max="6" width="14.36328125" customWidth="1"/>
    <col min="7" max="7" width="14.08984375" customWidth="1"/>
    <col min="8" max="8" width="13.08984375" customWidth="1"/>
    <col min="9" max="9" width="14.36328125" customWidth="1"/>
  </cols>
  <sheetData>
    <row r="1" spans="1:9">
      <c r="A1" t="s">
        <v>108</v>
      </c>
    </row>
    <row r="2" spans="1:9" ht="15" thickBot="1"/>
    <row r="3" spans="1:9">
      <c r="A3" s="7" t="s">
        <v>109</v>
      </c>
      <c r="B3" s="7"/>
    </row>
    <row r="4" spans="1:9">
      <c r="A4" t="s">
        <v>110</v>
      </c>
      <c r="B4">
        <v>0.85807070804410468</v>
      </c>
    </row>
    <row r="5" spans="1:9">
      <c r="A5" t="s">
        <v>111</v>
      </c>
      <c r="B5">
        <v>0.73628534000331103</v>
      </c>
    </row>
    <row r="6" spans="1:9">
      <c r="A6" t="s">
        <v>112</v>
      </c>
      <c r="B6">
        <v>0.73545604861967373</v>
      </c>
    </row>
    <row r="7" spans="1:9">
      <c r="A7" t="s">
        <v>113</v>
      </c>
      <c r="B7">
        <v>53373.736380790499</v>
      </c>
    </row>
    <row r="8" spans="1:9" ht="15" thickBot="1">
      <c r="A8" s="5" t="s">
        <v>114</v>
      </c>
      <c r="B8" s="5">
        <v>320</v>
      </c>
    </row>
    <row r="10" spans="1:9" ht="15" thickBot="1">
      <c r="A10" t="s">
        <v>115</v>
      </c>
    </row>
    <row r="11" spans="1:9">
      <c r="A11" s="6"/>
      <c r="B11" s="6" t="s">
        <v>120</v>
      </c>
      <c r="C11" s="6" t="s">
        <v>121</v>
      </c>
      <c r="D11" s="6" t="s">
        <v>122</v>
      </c>
      <c r="E11" s="6" t="s">
        <v>123</v>
      </c>
      <c r="F11" s="6" t="s">
        <v>124</v>
      </c>
    </row>
    <row r="12" spans="1:9">
      <c r="A12" t="s">
        <v>116</v>
      </c>
      <c r="B12">
        <v>1</v>
      </c>
      <c r="C12">
        <v>2529264292982.4736</v>
      </c>
      <c r="D12">
        <v>2529264292982.4736</v>
      </c>
      <c r="E12">
        <v>887.84877611276033</v>
      </c>
      <c r="F12">
        <v>4.7503615090053331E-94</v>
      </c>
    </row>
    <row r="13" spans="1:9">
      <c r="A13" t="s">
        <v>117</v>
      </c>
      <c r="B13">
        <v>318</v>
      </c>
      <c r="C13">
        <v>905904323808.26587</v>
      </c>
      <c r="D13">
        <v>2848755735.246119</v>
      </c>
    </row>
    <row r="14" spans="1:9" ht="15" thickBot="1">
      <c r="A14" s="5" t="s">
        <v>118</v>
      </c>
      <c r="B14" s="5">
        <v>319</v>
      </c>
      <c r="C14" s="5">
        <v>3435168616790.7393</v>
      </c>
      <c r="D14" s="5"/>
      <c r="E14" s="5"/>
      <c r="F14" s="5"/>
    </row>
    <row r="15" spans="1:9" ht="15" thickBot="1"/>
    <row r="16" spans="1:9">
      <c r="A16" s="6"/>
      <c r="B16" s="6" t="s">
        <v>125</v>
      </c>
      <c r="C16" s="6" t="s">
        <v>113</v>
      </c>
      <c r="D16" s="6" t="s">
        <v>126</v>
      </c>
      <c r="E16" s="6" t="s">
        <v>127</v>
      </c>
      <c r="F16" s="6" t="s">
        <v>128</v>
      </c>
      <c r="G16" s="6" t="s">
        <v>129</v>
      </c>
      <c r="H16" s="6" t="s">
        <v>130</v>
      </c>
      <c r="I16" s="6" t="s">
        <v>131</v>
      </c>
    </row>
    <row r="17" spans="1:9">
      <c r="A17" t="s">
        <v>119</v>
      </c>
      <c r="B17">
        <v>446410.58293395344</v>
      </c>
      <c r="C17">
        <v>8407.7382630059928</v>
      </c>
      <c r="D17">
        <v>53.095204556754318</v>
      </c>
      <c r="E17">
        <v>4.0862695711507226E-160</v>
      </c>
      <c r="F17">
        <v>429868.76191129786</v>
      </c>
      <c r="G17">
        <v>462952.40395660902</v>
      </c>
      <c r="H17">
        <v>429868.76191129786</v>
      </c>
      <c r="I17">
        <v>462952.40395660902</v>
      </c>
    </row>
    <row r="18" spans="1:9" ht="15" thickBot="1">
      <c r="A18" s="5" t="s">
        <v>5</v>
      </c>
      <c r="B18" s="5">
        <v>35.678031072640501</v>
      </c>
      <c r="C18" s="5">
        <v>1.1973782890340821</v>
      </c>
      <c r="D18" s="5">
        <v>29.796791372776362</v>
      </c>
      <c r="E18" s="11">
        <v>4.7503615090054699E-94</v>
      </c>
      <c r="F18" s="5">
        <v>33.322246825554025</v>
      </c>
      <c r="G18" s="5">
        <v>38.033815319726891</v>
      </c>
      <c r="H18" s="5">
        <v>33.322246825554025</v>
      </c>
      <c r="I18" s="5">
        <v>38.033815319726891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47A1A-29BB-45A7-BE9B-AAA84E0BF086}">
  <dimension ref="A1:I18"/>
  <sheetViews>
    <sheetView topLeftCell="A3" workbookViewId="0">
      <selection activeCell="H7" sqref="H7"/>
    </sheetView>
  </sheetViews>
  <sheetFormatPr defaultRowHeight="14.5"/>
  <cols>
    <col min="1" max="1" width="19.7265625" customWidth="1"/>
    <col min="2" max="2" width="19.36328125" customWidth="1"/>
    <col min="3" max="3" width="13.1796875" customWidth="1"/>
    <col min="4" max="4" width="12.81640625" customWidth="1"/>
    <col min="5" max="5" width="12.453125" customWidth="1"/>
    <col min="6" max="6" width="12.54296875" customWidth="1"/>
    <col min="7" max="7" width="11.08984375" customWidth="1"/>
    <col min="8" max="8" width="10.6328125" customWidth="1"/>
    <col min="9" max="9" width="11.54296875" customWidth="1"/>
  </cols>
  <sheetData>
    <row r="1" spans="1:9">
      <c r="A1" t="s">
        <v>108</v>
      </c>
    </row>
    <row r="2" spans="1:9" ht="15" thickBot="1"/>
    <row r="3" spans="1:9">
      <c r="A3" s="7" t="s">
        <v>109</v>
      </c>
      <c r="B3" s="7"/>
    </row>
    <row r="4" spans="1:9">
      <c r="A4" t="s">
        <v>110</v>
      </c>
      <c r="B4">
        <v>0.40895561021322352</v>
      </c>
    </row>
    <row r="5" spans="1:9">
      <c r="A5" t="s">
        <v>111</v>
      </c>
      <c r="B5">
        <v>0.16724469112487</v>
      </c>
    </row>
    <row r="6" spans="1:9">
      <c r="A6" t="s">
        <v>112</v>
      </c>
      <c r="B6">
        <v>0.16462596373847024</v>
      </c>
    </row>
    <row r="7" spans="1:9">
      <c r="A7" t="s">
        <v>113</v>
      </c>
      <c r="B7">
        <v>94846.03383215853</v>
      </c>
    </row>
    <row r="8" spans="1:9" ht="15" thickBot="1">
      <c r="A8" s="5" t="s">
        <v>114</v>
      </c>
      <c r="B8" s="5">
        <v>320</v>
      </c>
    </row>
    <row r="10" spans="1:9" ht="15" thickBot="1">
      <c r="A10" t="s">
        <v>115</v>
      </c>
    </row>
    <row r="11" spans="1:9">
      <c r="A11" s="6"/>
      <c r="B11" s="6" t="s">
        <v>120</v>
      </c>
      <c r="C11" s="6" t="s">
        <v>121</v>
      </c>
      <c r="D11" s="6" t="s">
        <v>122</v>
      </c>
      <c r="E11" s="6" t="s">
        <v>123</v>
      </c>
      <c r="F11" s="6" t="s">
        <v>124</v>
      </c>
    </row>
    <row r="12" spans="1:9">
      <c r="A12" t="s">
        <v>116</v>
      </c>
      <c r="B12">
        <v>1</v>
      </c>
      <c r="C12">
        <v>574513714277.01416</v>
      </c>
      <c r="D12">
        <v>574513714277.01416</v>
      </c>
      <c r="E12">
        <v>63.864872683367629</v>
      </c>
      <c r="F12">
        <v>2.4800615101359619E-14</v>
      </c>
    </row>
    <row r="13" spans="1:9">
      <c r="A13" t="s">
        <v>117</v>
      </c>
      <c r="B13">
        <v>318</v>
      </c>
      <c r="C13">
        <v>2860654902513.7251</v>
      </c>
      <c r="D13">
        <v>8995770133.6909599</v>
      </c>
    </row>
    <row r="14" spans="1:9" ht="15" thickBot="1">
      <c r="A14" s="5" t="s">
        <v>118</v>
      </c>
      <c r="B14" s="5">
        <v>319</v>
      </c>
      <c r="C14" s="5">
        <v>3435168616790.7393</v>
      </c>
      <c r="D14" s="5"/>
      <c r="E14" s="5"/>
      <c r="F14" s="5"/>
    </row>
    <row r="15" spans="1:9" ht="15" thickBot="1"/>
    <row r="16" spans="1:9">
      <c r="A16" s="6"/>
      <c r="B16" s="6" t="s">
        <v>125</v>
      </c>
      <c r="C16" s="6" t="s">
        <v>113</v>
      </c>
      <c r="D16" s="6" t="s">
        <v>126</v>
      </c>
      <c r="E16" s="6" t="s">
        <v>127</v>
      </c>
      <c r="F16" s="6" t="s">
        <v>128</v>
      </c>
      <c r="G16" s="6" t="s">
        <v>129</v>
      </c>
      <c r="H16" s="6" t="s">
        <v>130</v>
      </c>
      <c r="I16" s="6" t="s">
        <v>131</v>
      </c>
    </row>
    <row r="17" spans="1:9">
      <c r="A17" t="s">
        <v>119</v>
      </c>
      <c r="B17">
        <v>560777.34544943704</v>
      </c>
      <c r="C17">
        <v>15906.905953068674</v>
      </c>
      <c r="D17">
        <v>35.253703460870398</v>
      </c>
      <c r="E17" s="10">
        <v>6.9528768762841304E-112</v>
      </c>
      <c r="F17">
        <v>529481.27234763221</v>
      </c>
      <c r="G17">
        <v>592073.41855124186</v>
      </c>
      <c r="H17">
        <v>529481.27234763221</v>
      </c>
      <c r="I17">
        <v>592073.41855124186</v>
      </c>
    </row>
    <row r="18" spans="1:9" ht="15" thickBot="1">
      <c r="A18" s="5" t="s">
        <v>4</v>
      </c>
      <c r="B18" s="5">
        <v>2.1295753275898299</v>
      </c>
      <c r="C18" s="5">
        <v>0.26647838106932348</v>
      </c>
      <c r="D18" s="5">
        <v>7.991550080138869</v>
      </c>
      <c r="E18" s="11">
        <v>2.4800615101360099E-14</v>
      </c>
      <c r="F18" s="5">
        <v>1.6052919176921738</v>
      </c>
      <c r="G18" s="5">
        <v>2.6538587374874822</v>
      </c>
      <c r="H18" s="5">
        <v>1.6052919176921738</v>
      </c>
      <c r="I18" s="5">
        <v>2.6538587374874822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D8027-73A9-4CF1-9D03-74D39C13BAAC}">
  <dimension ref="A1:E3"/>
  <sheetViews>
    <sheetView workbookViewId="0">
      <selection activeCell="F8" sqref="F8"/>
    </sheetView>
  </sheetViews>
  <sheetFormatPr defaultRowHeight="14.5"/>
  <cols>
    <col min="1" max="1" width="13.26953125" customWidth="1"/>
    <col min="2" max="2" width="13" customWidth="1"/>
    <col min="3" max="3" width="12.453125" customWidth="1"/>
    <col min="4" max="4" width="13" customWidth="1"/>
  </cols>
  <sheetData>
    <row r="1" spans="1:5">
      <c r="A1" s="8" t="s">
        <v>132</v>
      </c>
      <c r="B1" s="8" t="s">
        <v>133</v>
      </c>
      <c r="C1" s="8" t="s">
        <v>134</v>
      </c>
      <c r="D1" s="8" t="s">
        <v>127</v>
      </c>
      <c r="E1" s="8" t="s">
        <v>135</v>
      </c>
    </row>
    <row r="2" spans="1:5" ht="29">
      <c r="A2" s="9" t="s">
        <v>136</v>
      </c>
      <c r="B2">
        <v>2.1295753275898299</v>
      </c>
      <c r="C2" s="9">
        <v>0.16724469112487</v>
      </c>
      <c r="D2" s="12">
        <v>2.4800615101360099E-14</v>
      </c>
      <c r="E2" s="9" t="s">
        <v>137</v>
      </c>
    </row>
    <row r="3" spans="1:5">
      <c r="A3" s="9" t="s">
        <v>138</v>
      </c>
      <c r="B3" s="9">
        <v>35.678031072640501</v>
      </c>
      <c r="C3" s="9">
        <v>0.73628534000331103</v>
      </c>
      <c r="D3" s="12">
        <v>4.7503615090054699E-94</v>
      </c>
      <c r="E3" s="9" t="s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AF158-CD93-4EF7-AB6A-72497D1A1627}">
  <dimension ref="A1:I21"/>
  <sheetViews>
    <sheetView zoomScale="90" zoomScaleNormal="90" workbookViewId="0">
      <selection activeCell="M9" sqref="M9"/>
    </sheetView>
  </sheetViews>
  <sheetFormatPr defaultRowHeight="14.5"/>
  <cols>
    <col min="1" max="1" width="15.54296875" customWidth="1"/>
    <col min="2" max="2" width="15" customWidth="1"/>
    <col min="3" max="3" width="15.453125" customWidth="1"/>
    <col min="4" max="4" width="15.1796875" customWidth="1"/>
    <col min="6" max="6" width="12.26953125" customWidth="1"/>
    <col min="7" max="7" width="12.453125" customWidth="1"/>
    <col min="8" max="8" width="12.1796875" customWidth="1"/>
    <col min="9" max="9" width="15.36328125" customWidth="1"/>
  </cols>
  <sheetData>
    <row r="1" spans="1:9">
      <c r="A1" t="s">
        <v>108</v>
      </c>
    </row>
    <row r="2" spans="1:9" ht="15" thickBot="1"/>
    <row r="3" spans="1:9">
      <c r="A3" s="7" t="s">
        <v>109</v>
      </c>
      <c r="B3" s="7"/>
    </row>
    <row r="4" spans="1:9">
      <c r="A4" t="s">
        <v>110</v>
      </c>
      <c r="B4">
        <v>0.90011002354399017</v>
      </c>
    </row>
    <row r="5" spans="1:9">
      <c r="A5" t="s">
        <v>111</v>
      </c>
      <c r="B5">
        <v>0.81019805448436244</v>
      </c>
    </row>
    <row r="6" spans="1:9">
      <c r="A6" t="s">
        <v>112</v>
      </c>
      <c r="B6">
        <v>0.80778787104924332</v>
      </c>
    </row>
    <row r="7" spans="1:9">
      <c r="A7" t="s">
        <v>113</v>
      </c>
      <c r="B7">
        <v>45495.567083591777</v>
      </c>
    </row>
    <row r="8" spans="1:9" ht="15" thickBot="1">
      <c r="A8" s="5" t="s">
        <v>114</v>
      </c>
      <c r="B8" s="5">
        <v>320</v>
      </c>
    </row>
    <row r="10" spans="1:9" ht="15" thickBot="1">
      <c r="A10" t="s">
        <v>115</v>
      </c>
    </row>
    <row r="11" spans="1:9">
      <c r="A11" s="6"/>
      <c r="B11" s="6" t="s">
        <v>120</v>
      </c>
      <c r="C11" s="6" t="s">
        <v>121</v>
      </c>
      <c r="D11" s="6" t="s">
        <v>122</v>
      </c>
      <c r="E11" s="6" t="s">
        <v>123</v>
      </c>
      <c r="F11" s="6" t="s">
        <v>124</v>
      </c>
    </row>
    <row r="12" spans="1:9">
      <c r="A12" t="s">
        <v>116</v>
      </c>
      <c r="B12">
        <v>4</v>
      </c>
      <c r="C12">
        <v>2783166930149.5952</v>
      </c>
      <c r="D12">
        <v>695791732537.3988</v>
      </c>
      <c r="E12">
        <v>336.156179101899</v>
      </c>
      <c r="F12">
        <v>2.7644948994382074E-112</v>
      </c>
    </row>
    <row r="13" spans="1:9">
      <c r="A13" t="s">
        <v>117</v>
      </c>
      <c r="B13">
        <v>315</v>
      </c>
      <c r="C13">
        <v>652001686641.14392</v>
      </c>
      <c r="D13">
        <v>2069846624.2575998</v>
      </c>
    </row>
    <row r="14" spans="1:9" ht="15" thickBot="1">
      <c r="A14" s="5" t="s">
        <v>118</v>
      </c>
      <c r="B14" s="5">
        <v>319</v>
      </c>
      <c r="C14" s="5">
        <v>3435168616790.7393</v>
      </c>
      <c r="D14" s="5"/>
      <c r="E14" s="5"/>
      <c r="F14" s="5"/>
    </row>
    <row r="15" spans="1:9" ht="15" thickBot="1"/>
    <row r="16" spans="1:9">
      <c r="A16" s="6"/>
      <c r="B16" s="6" t="s">
        <v>125</v>
      </c>
      <c r="C16" s="6" t="s">
        <v>113</v>
      </c>
      <c r="D16" s="6" t="s">
        <v>126</v>
      </c>
      <c r="E16" s="6" t="s">
        <v>127</v>
      </c>
      <c r="F16" s="6" t="s">
        <v>128</v>
      </c>
      <c r="G16" s="6" t="s">
        <v>129</v>
      </c>
      <c r="H16" s="6" t="s">
        <v>130</v>
      </c>
      <c r="I16" s="6" t="s">
        <v>131</v>
      </c>
    </row>
    <row r="17" spans="1:9">
      <c r="A17" t="s">
        <v>119</v>
      </c>
      <c r="B17">
        <v>149038.02777913821</v>
      </c>
      <c r="C17">
        <v>43688.636647906147</v>
      </c>
      <c r="D17">
        <v>3.4113682461702801</v>
      </c>
      <c r="E17">
        <v>7.3067625131426474E-4</v>
      </c>
      <c r="F17">
        <v>63079.607106903655</v>
      </c>
      <c r="G17">
        <v>234996.44845137277</v>
      </c>
      <c r="H17">
        <v>63079.607106903655</v>
      </c>
      <c r="I17">
        <v>234996.44845137277</v>
      </c>
    </row>
    <row r="18" spans="1:9">
      <c r="A18" t="s">
        <v>4</v>
      </c>
      <c r="B18">
        <v>1.1830338811769132</v>
      </c>
      <c r="C18">
        <v>0.13162207244304261</v>
      </c>
      <c r="D18">
        <v>8.9881116382577293</v>
      </c>
      <c r="E18">
        <v>2.3778408912307131E-17</v>
      </c>
      <c r="F18">
        <v>0.92406435635534545</v>
      </c>
      <c r="G18">
        <v>1.442003405998481</v>
      </c>
      <c r="H18">
        <v>0.92406435635534545</v>
      </c>
      <c r="I18">
        <v>1.442003405998481</v>
      </c>
    </row>
    <row r="19" spans="1:9">
      <c r="A19" t="s">
        <v>5</v>
      </c>
      <c r="B19">
        <v>33.947981735689638</v>
      </c>
      <c r="C19">
        <v>1.0540502720894414</v>
      </c>
      <c r="D19">
        <v>32.20717515531269</v>
      </c>
      <c r="E19">
        <v>1.1204916636729128E-101</v>
      </c>
      <c r="F19">
        <v>31.87411302176881</v>
      </c>
      <c r="G19">
        <v>36.021850449610469</v>
      </c>
      <c r="H19">
        <v>31.87411302176881</v>
      </c>
      <c r="I19">
        <v>36.021850449610469</v>
      </c>
    </row>
    <row r="20" spans="1:9">
      <c r="A20" t="s">
        <v>8</v>
      </c>
      <c r="B20">
        <v>2804.1655263575039</v>
      </c>
      <c r="C20">
        <v>477.55670283745047</v>
      </c>
      <c r="D20">
        <v>5.8719006762888606</v>
      </c>
      <c r="E20">
        <v>1.0931868657167621E-8</v>
      </c>
      <c r="F20">
        <v>1864.5614758082572</v>
      </c>
      <c r="G20">
        <v>3743.7695769067504</v>
      </c>
      <c r="H20">
        <v>1864.5614758082572</v>
      </c>
      <c r="I20">
        <v>3743.7695769067504</v>
      </c>
    </row>
    <row r="21" spans="1:9" ht="15" thickBot="1">
      <c r="A21" s="5" t="s">
        <v>102</v>
      </c>
      <c r="B21" s="5">
        <v>-16716.891051746759</v>
      </c>
      <c r="C21" s="5">
        <v>5472.9838216187882</v>
      </c>
      <c r="D21" s="5">
        <v>-3.0544382363626776</v>
      </c>
      <c r="E21" s="5">
        <v>2.4473362214208283E-3</v>
      </c>
      <c r="F21" s="5">
        <v>-27485.115509343534</v>
      </c>
      <c r="G21" s="5">
        <v>-5948.666594149985</v>
      </c>
      <c r="H21" s="5">
        <v>-27485.115509343534</v>
      </c>
      <c r="I21" s="5">
        <v>-5948.666594149985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07B51-AA0C-4AC9-AA24-E41DE99AF079}">
  <dimension ref="A1:F321"/>
  <sheetViews>
    <sheetView workbookViewId="0">
      <selection activeCell="G9" sqref="G9"/>
    </sheetView>
  </sheetViews>
  <sheetFormatPr defaultRowHeight="14.5"/>
  <cols>
    <col min="1" max="1" width="14.7265625" customWidth="1"/>
    <col min="2" max="2" width="12.26953125" customWidth="1"/>
    <col min="3" max="3" width="13" customWidth="1"/>
    <col min="4" max="4" width="12.26953125" customWidth="1"/>
    <col min="5" max="5" width="12.08984375" customWidth="1"/>
  </cols>
  <sheetData>
    <row r="1" spans="1:6">
      <c r="A1" s="2"/>
      <c r="B1" s="2"/>
      <c r="C1" s="2"/>
      <c r="D1" s="2"/>
      <c r="E1" s="2"/>
      <c r="F1" s="2"/>
    </row>
    <row r="2" spans="1:6">
      <c r="A2" s="8" t="s">
        <v>132</v>
      </c>
      <c r="B2" s="14" t="s">
        <v>133</v>
      </c>
      <c r="C2" s="14" t="s">
        <v>127</v>
      </c>
      <c r="D2" s="8" t="s">
        <v>139</v>
      </c>
      <c r="E2" s="8" t="s">
        <v>140</v>
      </c>
      <c r="F2" s="1"/>
    </row>
    <row r="3" spans="1:6" ht="29">
      <c r="A3" s="9" t="s">
        <v>119</v>
      </c>
      <c r="B3" s="13">
        <v>149038.03</v>
      </c>
      <c r="C3" s="13">
        <v>7.2999999999999996E-4</v>
      </c>
      <c r="D3" s="9" t="s">
        <v>141</v>
      </c>
      <c r="E3" s="9" t="s">
        <v>137</v>
      </c>
      <c r="F3" s="1"/>
    </row>
    <row r="4" spans="1:6" ht="29">
      <c r="A4" s="9" t="s">
        <v>4</v>
      </c>
      <c r="B4" s="13">
        <v>1.1830000000000001</v>
      </c>
      <c r="C4" s="15">
        <v>2.3999999999999999E-17</v>
      </c>
      <c r="D4" s="9" t="s">
        <v>142</v>
      </c>
      <c r="E4" s="9" t="s">
        <v>137</v>
      </c>
      <c r="F4" s="1"/>
    </row>
    <row r="5" spans="1:6">
      <c r="A5" s="9" t="s">
        <v>5</v>
      </c>
      <c r="B5" s="13">
        <v>33.947980000000001</v>
      </c>
      <c r="C5" s="15">
        <v>1.0000000000000001E-101</v>
      </c>
      <c r="D5" s="9" t="s">
        <v>142</v>
      </c>
      <c r="E5" s="9" t="s">
        <v>137</v>
      </c>
      <c r="F5" s="1"/>
    </row>
    <row r="6" spans="1:6" ht="29">
      <c r="A6" s="9" t="s">
        <v>8</v>
      </c>
      <c r="B6" s="13">
        <v>2804.17</v>
      </c>
      <c r="C6" s="15">
        <v>1.0999999999999999E-8</v>
      </c>
      <c r="D6" s="9" t="s">
        <v>142</v>
      </c>
      <c r="E6" s="9" t="s">
        <v>137</v>
      </c>
      <c r="F6" s="1"/>
    </row>
    <row r="7" spans="1:6">
      <c r="A7" s="9" t="s">
        <v>102</v>
      </c>
      <c r="B7" s="13">
        <v>-16716.89</v>
      </c>
      <c r="C7" s="13">
        <v>2.4499999999999999E-3</v>
      </c>
      <c r="D7" s="9" t="s">
        <v>143</v>
      </c>
      <c r="E7" s="9" t="s">
        <v>137</v>
      </c>
      <c r="F7" s="1"/>
    </row>
    <row r="8" spans="1:6">
      <c r="A8" s="1"/>
      <c r="B8" s="1"/>
      <c r="C8" s="1"/>
      <c r="D8" s="1"/>
      <c r="F8" s="1"/>
    </row>
    <row r="9" spans="1:6" ht="42.5">
      <c r="A9" s="4" t="s">
        <v>144</v>
      </c>
      <c r="B9" s="1"/>
      <c r="C9" s="1"/>
      <c r="D9" s="1"/>
      <c r="F9" s="1"/>
    </row>
    <row r="10" spans="1:6">
      <c r="A10" s="1"/>
      <c r="B10" s="1"/>
      <c r="C10" s="1"/>
      <c r="D10" s="1"/>
      <c r="F10" s="1"/>
    </row>
    <row r="11" spans="1:6">
      <c r="A11" s="1"/>
      <c r="B11" s="1"/>
      <c r="C11" s="1"/>
      <c r="D11" s="1"/>
      <c r="F11" s="1"/>
    </row>
    <row r="12" spans="1:6">
      <c r="A12" s="1"/>
      <c r="B12" s="1"/>
      <c r="C12" s="1"/>
      <c r="D12" s="1"/>
      <c r="F12" s="1"/>
    </row>
    <row r="13" spans="1:6">
      <c r="A13" s="1"/>
      <c r="B13" s="1"/>
      <c r="C13" s="1"/>
      <c r="D13" s="1"/>
      <c r="F13" s="1"/>
    </row>
    <row r="14" spans="1:6">
      <c r="A14" s="1"/>
      <c r="B14" s="1"/>
      <c r="C14" s="1"/>
      <c r="D14" s="1"/>
      <c r="F14" s="1"/>
    </row>
    <row r="15" spans="1:6">
      <c r="A15" s="1"/>
      <c r="B15" s="1"/>
      <c r="C15" s="1"/>
      <c r="D15" s="1"/>
      <c r="F15" s="1"/>
    </row>
    <row r="16" spans="1:6">
      <c r="A16" s="1"/>
      <c r="B16" s="1"/>
      <c r="C16" s="1"/>
      <c r="D16" s="1"/>
      <c r="F16" s="1"/>
    </row>
    <row r="17" spans="1:6">
      <c r="A17" s="1"/>
      <c r="B17" s="1"/>
      <c r="C17" s="1"/>
      <c r="D17" s="1"/>
      <c r="F17" s="1"/>
    </row>
    <row r="18" spans="1:6">
      <c r="A18" s="1"/>
      <c r="B18" s="1"/>
      <c r="C18" s="1"/>
      <c r="D18" s="1"/>
      <c r="F18" s="1"/>
    </row>
    <row r="19" spans="1:6">
      <c r="A19" s="1"/>
      <c r="B19" s="1"/>
      <c r="C19" s="1"/>
      <c r="D19" s="1"/>
      <c r="F19" s="1"/>
    </row>
    <row r="20" spans="1:6">
      <c r="A20" s="1"/>
      <c r="B20" s="1"/>
      <c r="C20" s="1"/>
      <c r="D20" s="1"/>
      <c r="F20" s="1"/>
    </row>
    <row r="21" spans="1:6">
      <c r="A21" s="1"/>
      <c r="B21" s="1"/>
      <c r="C21" s="1"/>
      <c r="D21" s="1"/>
      <c r="F21" s="1"/>
    </row>
    <row r="22" spans="1:6">
      <c r="A22" s="1"/>
      <c r="B22" s="1"/>
      <c r="C22" s="1"/>
      <c r="D22" s="1"/>
      <c r="F22" s="1"/>
    </row>
    <row r="23" spans="1:6">
      <c r="A23" s="1"/>
      <c r="B23" s="1"/>
      <c r="C23" s="1"/>
      <c r="D23" s="1"/>
      <c r="F23" s="1"/>
    </row>
    <row r="24" spans="1:6">
      <c r="A24" s="1"/>
      <c r="B24" s="1"/>
      <c r="C24" s="1"/>
      <c r="D24" s="1"/>
      <c r="F24" s="1"/>
    </row>
    <row r="25" spans="1:6">
      <c r="A25" s="1"/>
      <c r="B25" s="1"/>
      <c r="C25" s="1"/>
      <c r="D25" s="1"/>
      <c r="F25" s="1"/>
    </row>
    <row r="26" spans="1:6">
      <c r="A26" s="1"/>
      <c r="B26" s="1"/>
      <c r="C26" s="1"/>
      <c r="D26" s="1"/>
      <c r="F26" s="1"/>
    </row>
    <row r="27" spans="1:6">
      <c r="A27" s="1"/>
      <c r="B27" s="1"/>
      <c r="C27" s="1"/>
      <c r="D27" s="1"/>
      <c r="F27" s="1"/>
    </row>
    <row r="28" spans="1:6">
      <c r="A28" s="1"/>
      <c r="B28" s="1"/>
      <c r="C28" s="1"/>
      <c r="D28" s="1"/>
      <c r="F28" s="1"/>
    </row>
    <row r="29" spans="1:6">
      <c r="A29" s="1"/>
      <c r="B29" s="1"/>
      <c r="C29" s="1"/>
      <c r="D29" s="1"/>
      <c r="F29" s="1"/>
    </row>
    <row r="30" spans="1:6">
      <c r="A30" s="1"/>
      <c r="B30" s="1"/>
      <c r="C30" s="1"/>
      <c r="D30" s="1"/>
      <c r="F30" s="1"/>
    </row>
    <row r="31" spans="1:6">
      <c r="A31" s="1"/>
      <c r="B31" s="1"/>
      <c r="C31" s="1"/>
      <c r="D31" s="1"/>
      <c r="F31" s="1"/>
    </row>
    <row r="32" spans="1:6">
      <c r="A32" s="1"/>
      <c r="B32" s="1"/>
      <c r="C32" s="1"/>
      <c r="D32" s="1"/>
      <c r="F32" s="1"/>
    </row>
    <row r="33" spans="1:6">
      <c r="A33" s="1"/>
      <c r="B33" s="1"/>
      <c r="C33" s="1"/>
      <c r="D33" s="1"/>
      <c r="F33" s="1"/>
    </row>
    <row r="34" spans="1:6">
      <c r="A34" s="1"/>
      <c r="B34" s="1"/>
      <c r="C34" s="1"/>
      <c r="D34" s="1"/>
      <c r="F34" s="1"/>
    </row>
    <row r="35" spans="1:6">
      <c r="A35" s="1"/>
      <c r="B35" s="1"/>
      <c r="C35" s="1"/>
      <c r="D35" s="1"/>
      <c r="F35" s="1"/>
    </row>
    <row r="36" spans="1:6">
      <c r="A36" s="1"/>
      <c r="B36" s="1"/>
      <c r="C36" s="1"/>
      <c r="D36" s="1"/>
      <c r="F36" s="1"/>
    </row>
    <row r="37" spans="1:6">
      <c r="A37" s="1"/>
      <c r="B37" s="1"/>
      <c r="C37" s="1"/>
      <c r="D37" s="1"/>
      <c r="F37" s="1"/>
    </row>
    <row r="38" spans="1:6">
      <c r="A38" s="1"/>
      <c r="B38" s="1"/>
      <c r="C38" s="1"/>
      <c r="D38" s="1"/>
      <c r="F38" s="1"/>
    </row>
    <row r="39" spans="1:6">
      <c r="A39" s="1"/>
      <c r="B39" s="1"/>
      <c r="C39" s="1"/>
      <c r="D39" s="1"/>
      <c r="F39" s="1"/>
    </row>
    <row r="40" spans="1:6">
      <c r="A40" s="1"/>
      <c r="B40" s="1"/>
      <c r="C40" s="1"/>
      <c r="D40" s="1"/>
      <c r="F40" s="1"/>
    </row>
    <row r="41" spans="1:6">
      <c r="A41" s="1"/>
      <c r="B41" s="1"/>
      <c r="C41" s="1"/>
      <c r="D41" s="1"/>
      <c r="F41" s="1"/>
    </row>
    <row r="42" spans="1:6">
      <c r="A42" s="1"/>
      <c r="B42" s="1"/>
      <c r="C42" s="1"/>
      <c r="D42" s="1"/>
      <c r="F42" s="1"/>
    </row>
    <row r="43" spans="1:6">
      <c r="A43" s="1"/>
      <c r="B43" s="1"/>
      <c r="C43" s="1"/>
      <c r="D43" s="1"/>
      <c r="F43" s="1"/>
    </row>
    <row r="44" spans="1:6">
      <c r="A44" s="1"/>
      <c r="B44" s="1"/>
      <c r="C44" s="1"/>
      <c r="D44" s="1"/>
      <c r="F44" s="1"/>
    </row>
    <row r="45" spans="1:6">
      <c r="A45" s="1"/>
      <c r="B45" s="1"/>
      <c r="C45" s="1"/>
      <c r="D45" s="1"/>
      <c r="F45" s="1"/>
    </row>
    <row r="46" spans="1:6">
      <c r="A46" s="1"/>
      <c r="B46" s="1"/>
      <c r="C46" s="1"/>
      <c r="D46" s="1"/>
      <c r="F46" s="1"/>
    </row>
    <row r="47" spans="1:6">
      <c r="A47" s="1"/>
      <c r="B47" s="1"/>
      <c r="C47" s="1"/>
      <c r="D47" s="1"/>
      <c r="F47" s="1"/>
    </row>
    <row r="48" spans="1:6">
      <c r="A48" s="1"/>
      <c r="B48" s="1"/>
      <c r="C48" s="1"/>
      <c r="D48" s="1"/>
      <c r="F48" s="1"/>
    </row>
    <row r="49" spans="1:6">
      <c r="A49" s="1"/>
      <c r="B49" s="1"/>
      <c r="C49" s="1"/>
      <c r="D49" s="1"/>
      <c r="F49" s="1"/>
    </row>
    <row r="50" spans="1:6">
      <c r="A50" s="1"/>
      <c r="B50" s="1"/>
      <c r="C50" s="1"/>
      <c r="D50" s="1"/>
      <c r="F50" s="1"/>
    </row>
    <row r="51" spans="1:6">
      <c r="A51" s="1"/>
      <c r="B51" s="1"/>
      <c r="C51" s="1"/>
      <c r="D51" s="1"/>
      <c r="F51" s="1"/>
    </row>
    <row r="52" spans="1:6">
      <c r="A52" s="1"/>
      <c r="B52" s="1"/>
      <c r="C52" s="1"/>
      <c r="D52" s="1"/>
      <c r="F52" s="1"/>
    </row>
    <row r="53" spans="1:6">
      <c r="A53" s="1"/>
      <c r="B53" s="1"/>
      <c r="C53" s="1"/>
      <c r="D53" s="1"/>
      <c r="F53" s="1"/>
    </row>
    <row r="54" spans="1:6">
      <c r="A54" s="1"/>
      <c r="B54" s="1"/>
      <c r="C54" s="1"/>
      <c r="D54" s="1"/>
      <c r="F54" s="1"/>
    </row>
    <row r="55" spans="1:6">
      <c r="A55" s="1"/>
      <c r="B55" s="1"/>
      <c r="C55" s="1"/>
      <c r="D55" s="1"/>
      <c r="F55" s="1"/>
    </row>
    <row r="56" spans="1:6">
      <c r="A56" s="1"/>
      <c r="B56" s="1"/>
      <c r="C56" s="1"/>
      <c r="D56" s="1"/>
      <c r="F56" s="1"/>
    </row>
    <row r="57" spans="1:6">
      <c r="A57" s="1"/>
      <c r="B57" s="1"/>
      <c r="C57" s="1"/>
      <c r="D57" s="1"/>
      <c r="F57" s="1"/>
    </row>
    <row r="58" spans="1:6">
      <c r="A58" s="1"/>
      <c r="B58" s="1"/>
      <c r="C58" s="1"/>
      <c r="D58" s="1"/>
      <c r="F58" s="1"/>
    </row>
    <row r="59" spans="1:6">
      <c r="A59" s="1"/>
      <c r="B59" s="1"/>
      <c r="C59" s="1"/>
      <c r="D59" s="1"/>
      <c r="F59" s="1"/>
    </row>
    <row r="60" spans="1:6">
      <c r="A60" s="1"/>
      <c r="B60" s="1"/>
      <c r="C60" s="1"/>
      <c r="D60" s="1"/>
      <c r="F60" s="1"/>
    </row>
    <row r="61" spans="1:6">
      <c r="A61" s="1"/>
      <c r="B61" s="1"/>
      <c r="C61" s="1"/>
      <c r="D61" s="1"/>
      <c r="F61" s="1"/>
    </row>
    <row r="62" spans="1:6">
      <c r="A62" s="1"/>
      <c r="B62" s="1"/>
      <c r="C62" s="1"/>
      <c r="D62" s="1"/>
      <c r="F62" s="1"/>
    </row>
    <row r="63" spans="1:6">
      <c r="A63" s="1"/>
      <c r="B63" s="1"/>
      <c r="C63" s="1"/>
      <c r="D63" s="1"/>
      <c r="F63" s="1"/>
    </row>
    <row r="64" spans="1:6">
      <c r="A64" s="1"/>
      <c r="B64" s="1"/>
      <c r="C64" s="1"/>
      <c r="D64" s="1"/>
      <c r="F64" s="1"/>
    </row>
    <row r="65" spans="1:6">
      <c r="A65" s="1"/>
      <c r="B65" s="1"/>
      <c r="C65" s="1"/>
      <c r="D65" s="1"/>
      <c r="F65" s="1"/>
    </row>
    <row r="66" spans="1:6">
      <c r="A66" s="1"/>
      <c r="B66" s="1"/>
      <c r="C66" s="1"/>
      <c r="D66" s="1"/>
      <c r="F66" s="1"/>
    </row>
    <row r="67" spans="1:6">
      <c r="A67" s="1"/>
      <c r="B67" s="1"/>
      <c r="C67" s="1"/>
      <c r="D67" s="1"/>
      <c r="F67" s="1"/>
    </row>
    <row r="68" spans="1:6">
      <c r="A68" s="1"/>
      <c r="B68" s="1"/>
      <c r="C68" s="1"/>
      <c r="D68" s="1"/>
      <c r="F68" s="1"/>
    </row>
    <row r="69" spans="1:6">
      <c r="A69" s="1"/>
      <c r="B69" s="1"/>
      <c r="C69" s="1"/>
      <c r="D69" s="1"/>
      <c r="F69" s="1"/>
    </row>
    <row r="70" spans="1:6">
      <c r="A70" s="1"/>
      <c r="B70" s="1"/>
      <c r="C70" s="1"/>
      <c r="D70" s="1"/>
      <c r="F70" s="1"/>
    </row>
    <row r="71" spans="1:6">
      <c r="A71" s="1"/>
      <c r="B71" s="1"/>
      <c r="C71" s="1"/>
      <c r="D71" s="1"/>
      <c r="F71" s="1"/>
    </row>
    <row r="72" spans="1:6">
      <c r="A72" s="1"/>
      <c r="B72" s="1"/>
      <c r="C72" s="1"/>
      <c r="D72" s="1"/>
      <c r="F72" s="1"/>
    </row>
    <row r="73" spans="1:6">
      <c r="A73" s="1"/>
      <c r="B73" s="1"/>
      <c r="C73" s="1"/>
      <c r="D73" s="1"/>
      <c r="F73" s="1"/>
    </row>
    <row r="74" spans="1:6">
      <c r="A74" s="1"/>
      <c r="B74" s="1"/>
      <c r="C74" s="1"/>
      <c r="D74" s="1"/>
      <c r="F74" s="1"/>
    </row>
    <row r="75" spans="1:6">
      <c r="A75" s="1"/>
      <c r="B75" s="1"/>
      <c r="C75" s="1"/>
      <c r="D75" s="1"/>
      <c r="F75" s="1"/>
    </row>
    <row r="76" spans="1:6">
      <c r="A76" s="1"/>
      <c r="B76" s="1"/>
      <c r="C76" s="1"/>
      <c r="D76" s="1"/>
      <c r="F76" s="1"/>
    </row>
    <row r="77" spans="1:6">
      <c r="A77" s="1"/>
      <c r="B77" s="1"/>
      <c r="C77" s="1"/>
      <c r="D77" s="1"/>
      <c r="F77" s="1"/>
    </row>
    <row r="78" spans="1:6">
      <c r="A78" s="1"/>
      <c r="B78" s="1"/>
      <c r="C78" s="1"/>
      <c r="D78" s="1"/>
      <c r="F78" s="1"/>
    </row>
    <row r="79" spans="1:6">
      <c r="A79" s="1"/>
      <c r="B79" s="1"/>
      <c r="C79" s="1"/>
      <c r="D79" s="1"/>
      <c r="F79" s="1"/>
    </row>
    <row r="80" spans="1:6">
      <c r="A80" s="1"/>
      <c r="B80" s="1"/>
      <c r="C80" s="1"/>
      <c r="D80" s="1"/>
      <c r="F80" s="1"/>
    </row>
    <row r="81" spans="1:6">
      <c r="A81" s="1"/>
      <c r="B81" s="1"/>
      <c r="C81" s="1"/>
      <c r="D81" s="1"/>
      <c r="F81" s="1"/>
    </row>
    <row r="82" spans="1:6">
      <c r="A82" s="1"/>
      <c r="B82" s="1"/>
      <c r="C82" s="1"/>
      <c r="D82" s="1"/>
      <c r="F82" s="1"/>
    </row>
    <row r="83" spans="1:6">
      <c r="A83" s="1"/>
      <c r="B83" s="1"/>
      <c r="C83" s="1"/>
      <c r="D83" s="1"/>
      <c r="F83" s="1"/>
    </row>
    <row r="84" spans="1:6">
      <c r="A84" s="1"/>
      <c r="B84" s="1"/>
      <c r="C84" s="1"/>
      <c r="D84" s="1"/>
      <c r="F84" s="1"/>
    </row>
    <row r="85" spans="1:6">
      <c r="A85" s="1"/>
      <c r="B85" s="1"/>
      <c r="C85" s="1"/>
      <c r="D85" s="1"/>
      <c r="F85" s="1"/>
    </row>
    <row r="86" spans="1:6">
      <c r="A86" s="1"/>
      <c r="B86" s="1"/>
      <c r="C86" s="1"/>
      <c r="D86" s="1"/>
      <c r="F86" s="1"/>
    </row>
    <row r="87" spans="1:6">
      <c r="A87" s="1"/>
      <c r="B87" s="1"/>
      <c r="C87" s="1"/>
      <c r="D87" s="1"/>
      <c r="F87" s="1"/>
    </row>
    <row r="88" spans="1:6">
      <c r="A88" s="1"/>
      <c r="B88" s="1"/>
      <c r="C88" s="1"/>
      <c r="D88" s="1"/>
      <c r="F88" s="1"/>
    </row>
    <row r="89" spans="1:6">
      <c r="A89" s="1"/>
      <c r="B89" s="1"/>
      <c r="C89" s="1"/>
      <c r="D89" s="1"/>
      <c r="F89" s="1"/>
    </row>
    <row r="90" spans="1:6">
      <c r="A90" s="1"/>
      <c r="B90" s="1"/>
      <c r="C90" s="1"/>
      <c r="D90" s="1"/>
      <c r="F90" s="1"/>
    </row>
    <row r="91" spans="1:6">
      <c r="A91" s="1"/>
      <c r="B91" s="1"/>
      <c r="C91" s="1"/>
      <c r="D91" s="1"/>
      <c r="F91" s="1"/>
    </row>
    <row r="92" spans="1:6">
      <c r="A92" s="1"/>
      <c r="B92" s="1"/>
      <c r="C92" s="1"/>
      <c r="D92" s="1"/>
      <c r="F92" s="1"/>
    </row>
    <row r="93" spans="1:6">
      <c r="A93" s="1"/>
      <c r="B93" s="1"/>
      <c r="C93" s="1"/>
      <c r="D93" s="1"/>
      <c r="F93" s="1"/>
    </row>
    <row r="94" spans="1:6">
      <c r="A94" s="1"/>
      <c r="B94" s="1"/>
      <c r="C94" s="1"/>
      <c r="D94" s="1"/>
      <c r="F94" s="1"/>
    </row>
    <row r="95" spans="1:6">
      <c r="A95" s="1"/>
      <c r="B95" s="1"/>
      <c r="C95" s="1"/>
      <c r="D95" s="1"/>
      <c r="F95" s="1"/>
    </row>
    <row r="96" spans="1:6">
      <c r="A96" s="1"/>
      <c r="B96" s="1"/>
      <c r="C96" s="1"/>
      <c r="D96" s="1"/>
      <c r="F96" s="1"/>
    </row>
    <row r="97" spans="1:6">
      <c r="A97" s="1"/>
      <c r="B97" s="1"/>
      <c r="C97" s="1"/>
      <c r="D97" s="1"/>
      <c r="F97" s="1"/>
    </row>
    <row r="98" spans="1:6">
      <c r="A98" s="1"/>
      <c r="B98" s="1"/>
      <c r="C98" s="1"/>
      <c r="D98" s="1"/>
      <c r="F98" s="1"/>
    </row>
    <row r="99" spans="1:6">
      <c r="A99" s="1"/>
      <c r="B99" s="1"/>
      <c r="C99" s="1"/>
      <c r="D99" s="1"/>
      <c r="F99" s="1"/>
    </row>
    <row r="100" spans="1:6">
      <c r="A100" s="1"/>
      <c r="B100" s="1"/>
      <c r="C100" s="1"/>
      <c r="D100" s="1"/>
      <c r="F100" s="1"/>
    </row>
    <row r="101" spans="1:6">
      <c r="A101" s="1"/>
      <c r="B101" s="1"/>
      <c r="C101" s="1"/>
      <c r="D101" s="1"/>
      <c r="F101" s="1"/>
    </row>
    <row r="102" spans="1:6">
      <c r="A102" s="1"/>
      <c r="B102" s="1"/>
      <c r="C102" s="1"/>
      <c r="D102" s="1"/>
      <c r="F102" s="1"/>
    </row>
    <row r="103" spans="1:6">
      <c r="A103" s="1"/>
      <c r="B103" s="1"/>
      <c r="C103" s="1"/>
      <c r="D103" s="1"/>
      <c r="F103" s="1"/>
    </row>
    <row r="104" spans="1:6">
      <c r="A104" s="1"/>
      <c r="B104" s="1"/>
      <c r="C104" s="1"/>
      <c r="D104" s="1"/>
      <c r="F104" s="1"/>
    </row>
    <row r="105" spans="1:6">
      <c r="A105" s="1"/>
      <c r="B105" s="1"/>
      <c r="C105" s="1"/>
      <c r="D105" s="1"/>
      <c r="F105" s="1"/>
    </row>
    <row r="106" spans="1:6">
      <c r="A106" s="1"/>
      <c r="B106" s="1"/>
      <c r="C106" s="1"/>
      <c r="D106" s="1"/>
      <c r="F106" s="1"/>
    </row>
    <row r="107" spans="1:6">
      <c r="A107" s="1"/>
      <c r="B107" s="1"/>
      <c r="C107" s="1"/>
      <c r="D107" s="1"/>
      <c r="F107" s="1"/>
    </row>
    <row r="108" spans="1:6">
      <c r="A108" s="1"/>
      <c r="B108" s="1"/>
      <c r="C108" s="1"/>
      <c r="D108" s="1"/>
      <c r="F108" s="1"/>
    </row>
    <row r="109" spans="1:6">
      <c r="A109" s="1"/>
      <c r="B109" s="1"/>
      <c r="C109" s="1"/>
      <c r="D109" s="1"/>
      <c r="F109" s="1"/>
    </row>
    <row r="110" spans="1:6">
      <c r="A110" s="1"/>
      <c r="B110" s="1"/>
      <c r="C110" s="1"/>
      <c r="D110" s="1"/>
      <c r="F110" s="1"/>
    </row>
    <row r="111" spans="1:6">
      <c r="A111" s="1"/>
      <c r="B111" s="1"/>
      <c r="C111" s="1"/>
      <c r="D111" s="1"/>
      <c r="F111" s="1"/>
    </row>
    <row r="112" spans="1:6">
      <c r="A112" s="1"/>
      <c r="B112" s="1"/>
      <c r="C112" s="1"/>
      <c r="D112" s="1"/>
      <c r="F112" s="1"/>
    </row>
    <row r="113" spans="1:6">
      <c r="A113" s="1"/>
      <c r="B113" s="1"/>
      <c r="C113" s="1"/>
      <c r="D113" s="1"/>
      <c r="F113" s="1"/>
    </row>
    <row r="114" spans="1:6">
      <c r="A114" s="1"/>
      <c r="B114" s="1"/>
      <c r="C114" s="1"/>
      <c r="D114" s="1"/>
      <c r="F114" s="1"/>
    </row>
    <row r="115" spans="1:6">
      <c r="A115" s="1"/>
      <c r="B115" s="1"/>
      <c r="C115" s="1"/>
      <c r="D115" s="1"/>
      <c r="F115" s="1"/>
    </row>
    <row r="116" spans="1:6">
      <c r="A116" s="1"/>
      <c r="B116" s="1"/>
      <c r="C116" s="1"/>
      <c r="D116" s="1"/>
      <c r="F116" s="1"/>
    </row>
    <row r="117" spans="1:6">
      <c r="A117" s="1"/>
      <c r="B117" s="1"/>
      <c r="C117" s="1"/>
      <c r="D117" s="1"/>
      <c r="F117" s="1"/>
    </row>
    <row r="118" spans="1:6">
      <c r="A118" s="1"/>
      <c r="B118" s="1"/>
      <c r="C118" s="1"/>
      <c r="D118" s="1"/>
      <c r="F118" s="1"/>
    </row>
    <row r="119" spans="1:6">
      <c r="A119" s="1"/>
      <c r="B119" s="1"/>
      <c r="C119" s="1"/>
      <c r="D119" s="1"/>
      <c r="F119" s="1"/>
    </row>
    <row r="120" spans="1:6">
      <c r="A120" s="1"/>
      <c r="B120" s="1"/>
      <c r="C120" s="1"/>
      <c r="D120" s="1"/>
      <c r="F120" s="1"/>
    </row>
    <row r="121" spans="1:6">
      <c r="A121" s="1"/>
      <c r="B121" s="1"/>
      <c r="C121" s="1"/>
      <c r="D121" s="1"/>
      <c r="F121" s="1"/>
    </row>
    <row r="122" spans="1:6">
      <c r="A122" s="1"/>
      <c r="B122" s="1"/>
      <c r="C122" s="1"/>
      <c r="D122" s="1"/>
      <c r="F122" s="1"/>
    </row>
    <row r="123" spans="1:6">
      <c r="A123" s="1"/>
      <c r="B123" s="1"/>
      <c r="C123" s="1"/>
      <c r="D123" s="1"/>
      <c r="F123" s="1"/>
    </row>
    <row r="124" spans="1:6">
      <c r="A124" s="1"/>
      <c r="B124" s="1"/>
      <c r="C124" s="1"/>
      <c r="D124" s="1"/>
      <c r="F124" s="1"/>
    </row>
    <row r="125" spans="1:6">
      <c r="A125" s="1"/>
      <c r="B125" s="1"/>
      <c r="C125" s="1"/>
      <c r="D125" s="1"/>
      <c r="F125" s="1"/>
    </row>
    <row r="126" spans="1:6">
      <c r="A126" s="1"/>
      <c r="B126" s="1"/>
      <c r="C126" s="1"/>
      <c r="D126" s="1"/>
      <c r="F126" s="1"/>
    </row>
    <row r="127" spans="1:6">
      <c r="A127" s="1"/>
      <c r="B127" s="1"/>
      <c r="C127" s="1"/>
      <c r="D127" s="1"/>
      <c r="F127" s="1"/>
    </row>
    <row r="128" spans="1:6">
      <c r="A128" s="1"/>
      <c r="B128" s="1"/>
      <c r="C128" s="1"/>
      <c r="D128" s="1"/>
      <c r="F128" s="1"/>
    </row>
    <row r="129" spans="1:6">
      <c r="A129" s="1"/>
      <c r="B129" s="1"/>
      <c r="C129" s="1"/>
      <c r="D129" s="1"/>
      <c r="F129" s="1"/>
    </row>
    <row r="130" spans="1:6">
      <c r="A130" s="1"/>
      <c r="B130" s="1"/>
      <c r="C130" s="1"/>
      <c r="D130" s="1"/>
      <c r="F130" s="1"/>
    </row>
    <row r="131" spans="1:6">
      <c r="A131" s="1"/>
      <c r="B131" s="1"/>
      <c r="C131" s="1"/>
      <c r="D131" s="1"/>
      <c r="F131" s="1"/>
    </row>
    <row r="132" spans="1:6">
      <c r="A132" s="1"/>
      <c r="B132" s="1"/>
      <c r="C132" s="1"/>
      <c r="D132" s="1"/>
      <c r="F132" s="1"/>
    </row>
    <row r="133" spans="1:6">
      <c r="A133" s="1"/>
      <c r="B133" s="1"/>
      <c r="C133" s="1"/>
      <c r="D133" s="1"/>
      <c r="F133" s="1"/>
    </row>
    <row r="134" spans="1:6">
      <c r="A134" s="1"/>
      <c r="B134" s="1"/>
      <c r="C134" s="1"/>
      <c r="D134" s="1"/>
      <c r="F134" s="1"/>
    </row>
    <row r="135" spans="1:6">
      <c r="A135" s="1"/>
      <c r="B135" s="1"/>
      <c r="C135" s="1"/>
      <c r="D135" s="1"/>
      <c r="F135" s="1"/>
    </row>
    <row r="136" spans="1:6">
      <c r="A136" s="1"/>
      <c r="B136" s="1"/>
      <c r="C136" s="1"/>
      <c r="D136" s="1"/>
      <c r="F136" s="1"/>
    </row>
    <row r="137" spans="1:6">
      <c r="A137" s="1"/>
      <c r="B137" s="1"/>
      <c r="C137" s="1"/>
      <c r="D137" s="1"/>
      <c r="F137" s="1"/>
    </row>
    <row r="138" spans="1:6">
      <c r="A138" s="1"/>
      <c r="B138" s="1"/>
      <c r="C138" s="1"/>
      <c r="D138" s="1"/>
      <c r="F138" s="1"/>
    </row>
    <row r="139" spans="1:6">
      <c r="A139" s="1"/>
      <c r="B139" s="1"/>
      <c r="C139" s="1"/>
      <c r="D139" s="1"/>
      <c r="F139" s="1"/>
    </row>
    <row r="140" spans="1:6">
      <c r="A140" s="1"/>
      <c r="B140" s="1"/>
      <c r="C140" s="1"/>
      <c r="D140" s="1"/>
      <c r="F140" s="1"/>
    </row>
    <row r="141" spans="1:6">
      <c r="A141" s="1"/>
      <c r="B141" s="1"/>
      <c r="C141" s="1"/>
      <c r="D141" s="1"/>
      <c r="F141" s="1"/>
    </row>
    <row r="142" spans="1:6">
      <c r="A142" s="1"/>
      <c r="B142" s="1"/>
      <c r="C142" s="1"/>
      <c r="D142" s="1"/>
      <c r="F142" s="1"/>
    </row>
    <row r="143" spans="1:6">
      <c r="A143" s="1"/>
      <c r="B143" s="1"/>
      <c r="C143" s="1"/>
      <c r="D143" s="1"/>
      <c r="F143" s="1"/>
    </row>
    <row r="144" spans="1:6">
      <c r="A144" s="1"/>
      <c r="B144" s="1"/>
      <c r="C144" s="1"/>
      <c r="D144" s="1"/>
      <c r="F144" s="1"/>
    </row>
    <row r="145" spans="1:6">
      <c r="A145" s="1"/>
      <c r="B145" s="1"/>
      <c r="C145" s="1"/>
      <c r="D145" s="1"/>
      <c r="F145" s="1"/>
    </row>
    <row r="146" spans="1:6">
      <c r="A146" s="1"/>
      <c r="B146" s="1"/>
      <c r="C146" s="1"/>
      <c r="D146" s="1"/>
      <c r="F146" s="1"/>
    </row>
    <row r="147" spans="1:6">
      <c r="A147" s="1"/>
      <c r="B147" s="1"/>
      <c r="C147" s="1"/>
      <c r="D147" s="1"/>
      <c r="F147" s="1"/>
    </row>
    <row r="148" spans="1:6">
      <c r="A148" s="1"/>
      <c r="B148" s="1"/>
      <c r="C148" s="1"/>
      <c r="D148" s="1"/>
      <c r="F148" s="1"/>
    </row>
    <row r="149" spans="1:6">
      <c r="A149" s="1"/>
      <c r="B149" s="1"/>
      <c r="C149" s="1"/>
      <c r="D149" s="1"/>
      <c r="F149" s="1"/>
    </row>
    <row r="150" spans="1:6">
      <c r="A150" s="1"/>
      <c r="B150" s="1"/>
      <c r="C150" s="1"/>
      <c r="D150" s="1"/>
      <c r="F150" s="1"/>
    </row>
    <row r="151" spans="1:6">
      <c r="A151" s="1"/>
      <c r="B151" s="1"/>
      <c r="C151" s="1"/>
      <c r="D151" s="1"/>
      <c r="F151" s="1"/>
    </row>
    <row r="152" spans="1:6">
      <c r="A152" s="1"/>
      <c r="B152" s="1"/>
      <c r="C152" s="1"/>
      <c r="D152" s="1"/>
      <c r="F152" s="1"/>
    </row>
    <row r="153" spans="1:6">
      <c r="A153" s="1"/>
      <c r="B153" s="1"/>
      <c r="C153" s="1"/>
      <c r="D153" s="1"/>
      <c r="F153" s="1"/>
    </row>
    <row r="154" spans="1:6">
      <c r="A154" s="1"/>
      <c r="B154" s="1"/>
      <c r="C154" s="1"/>
      <c r="D154" s="1"/>
      <c r="F154" s="1"/>
    </row>
    <row r="155" spans="1:6">
      <c r="A155" s="1"/>
      <c r="B155" s="1"/>
      <c r="C155" s="1"/>
      <c r="D155" s="1"/>
      <c r="F155" s="1"/>
    </row>
    <row r="156" spans="1:6">
      <c r="A156" s="1"/>
      <c r="B156" s="1"/>
      <c r="C156" s="1"/>
      <c r="D156" s="1"/>
      <c r="F156" s="1"/>
    </row>
    <row r="157" spans="1:6">
      <c r="A157" s="1"/>
      <c r="B157" s="1"/>
      <c r="C157" s="1"/>
      <c r="D157" s="1"/>
      <c r="F157" s="1"/>
    </row>
    <row r="158" spans="1:6">
      <c r="A158" s="1"/>
      <c r="B158" s="1"/>
      <c r="C158" s="1"/>
      <c r="D158" s="1"/>
      <c r="F158" s="1"/>
    </row>
    <row r="159" spans="1:6">
      <c r="A159" s="1"/>
      <c r="B159" s="1"/>
      <c r="C159" s="1"/>
      <c r="D159" s="1"/>
      <c r="F159" s="1"/>
    </row>
    <row r="160" spans="1:6">
      <c r="A160" s="1"/>
      <c r="B160" s="1"/>
      <c r="C160" s="1"/>
      <c r="D160" s="1"/>
      <c r="F160" s="1"/>
    </row>
    <row r="161" spans="1:6">
      <c r="A161" s="1"/>
      <c r="B161" s="1"/>
      <c r="C161" s="1"/>
      <c r="D161" s="1"/>
      <c r="F161" s="1"/>
    </row>
    <row r="162" spans="1:6">
      <c r="A162" s="1"/>
      <c r="B162" s="1"/>
      <c r="C162" s="1"/>
      <c r="D162" s="1"/>
      <c r="F162" s="1"/>
    </row>
    <row r="163" spans="1:6">
      <c r="A163" s="1"/>
      <c r="B163" s="1"/>
      <c r="C163" s="1"/>
      <c r="D163" s="1"/>
      <c r="F163" s="1"/>
    </row>
    <row r="164" spans="1:6">
      <c r="A164" s="1"/>
      <c r="B164" s="1"/>
      <c r="C164" s="1"/>
      <c r="D164" s="1"/>
      <c r="F164" s="1"/>
    </row>
    <row r="165" spans="1:6">
      <c r="A165" s="1"/>
      <c r="B165" s="1"/>
      <c r="C165" s="1"/>
      <c r="D165" s="1"/>
      <c r="F165" s="1"/>
    </row>
    <row r="166" spans="1:6">
      <c r="A166" s="1"/>
      <c r="B166" s="1"/>
      <c r="C166" s="1"/>
      <c r="D166" s="1"/>
      <c r="F166" s="1"/>
    </row>
    <row r="167" spans="1:6">
      <c r="A167" s="1"/>
      <c r="B167" s="1"/>
      <c r="C167" s="1"/>
      <c r="D167" s="1"/>
      <c r="F167" s="1"/>
    </row>
    <row r="168" spans="1:6">
      <c r="A168" s="1"/>
      <c r="B168" s="1"/>
      <c r="C168" s="1"/>
      <c r="D168" s="1"/>
      <c r="F168" s="1"/>
    </row>
    <row r="169" spans="1:6">
      <c r="A169" s="1"/>
      <c r="B169" s="1"/>
      <c r="C169" s="1"/>
      <c r="D169" s="1"/>
      <c r="F169" s="1"/>
    </row>
    <row r="170" spans="1:6">
      <c r="A170" s="1"/>
      <c r="B170" s="1"/>
      <c r="C170" s="1"/>
      <c r="D170" s="1"/>
      <c r="F170" s="1"/>
    </row>
    <row r="171" spans="1:6">
      <c r="A171" s="1"/>
      <c r="B171" s="1"/>
      <c r="C171" s="1"/>
      <c r="D171" s="1"/>
      <c r="F171" s="1"/>
    </row>
    <row r="172" spans="1:6">
      <c r="A172" s="1"/>
      <c r="B172" s="1"/>
      <c r="C172" s="1"/>
      <c r="D172" s="1"/>
      <c r="F172" s="1"/>
    </row>
    <row r="173" spans="1:6">
      <c r="A173" s="1"/>
      <c r="B173" s="1"/>
      <c r="C173" s="1"/>
      <c r="D173" s="1"/>
      <c r="F173" s="1"/>
    </row>
    <row r="174" spans="1:6">
      <c r="A174" s="1"/>
      <c r="B174" s="1"/>
      <c r="C174" s="1"/>
      <c r="D174" s="1"/>
      <c r="F174" s="1"/>
    </row>
    <row r="175" spans="1:6">
      <c r="A175" s="1"/>
      <c r="B175" s="1"/>
      <c r="C175" s="1"/>
      <c r="D175" s="1"/>
      <c r="F175" s="1"/>
    </row>
    <row r="176" spans="1:6">
      <c r="A176" s="1"/>
      <c r="B176" s="1"/>
      <c r="C176" s="1"/>
      <c r="D176" s="1"/>
      <c r="F176" s="1"/>
    </row>
    <row r="177" spans="1:6">
      <c r="A177" s="1"/>
      <c r="B177" s="1"/>
      <c r="C177" s="1"/>
      <c r="D177" s="1"/>
      <c r="F177" s="1"/>
    </row>
    <row r="178" spans="1:6">
      <c r="A178" s="1"/>
      <c r="B178" s="1"/>
      <c r="C178" s="1"/>
      <c r="D178" s="1"/>
      <c r="F178" s="1"/>
    </row>
    <row r="179" spans="1:6">
      <c r="A179" s="1"/>
      <c r="B179" s="1"/>
      <c r="C179" s="1"/>
      <c r="D179" s="1"/>
      <c r="F179" s="1"/>
    </row>
    <row r="180" spans="1:6">
      <c r="A180" s="1"/>
      <c r="B180" s="1"/>
      <c r="C180" s="1"/>
      <c r="D180" s="1"/>
      <c r="F180" s="1"/>
    </row>
    <row r="181" spans="1:6">
      <c r="A181" s="1"/>
      <c r="B181" s="1"/>
      <c r="C181" s="1"/>
      <c r="D181" s="1"/>
      <c r="F181" s="1"/>
    </row>
    <row r="182" spans="1:6">
      <c r="A182" s="1"/>
      <c r="B182" s="1"/>
      <c r="C182" s="1"/>
      <c r="D182" s="1"/>
      <c r="F182" s="1"/>
    </row>
    <row r="183" spans="1:6">
      <c r="A183" s="1"/>
      <c r="B183" s="1"/>
      <c r="C183" s="1"/>
      <c r="D183" s="1"/>
      <c r="F183" s="1"/>
    </row>
    <row r="184" spans="1:6">
      <c r="A184" s="1"/>
      <c r="B184" s="1"/>
      <c r="C184" s="1"/>
      <c r="D184" s="1"/>
      <c r="F184" s="1"/>
    </row>
    <row r="185" spans="1:6">
      <c r="A185" s="1"/>
      <c r="B185" s="1"/>
      <c r="C185" s="1"/>
      <c r="D185" s="1"/>
      <c r="F185" s="1"/>
    </row>
    <row r="186" spans="1:6">
      <c r="A186" s="1"/>
      <c r="B186" s="1"/>
      <c r="C186" s="1"/>
      <c r="D186" s="1"/>
      <c r="F186" s="1"/>
    </row>
    <row r="187" spans="1:6">
      <c r="A187" s="1"/>
      <c r="B187" s="1"/>
      <c r="C187" s="1"/>
      <c r="D187" s="1"/>
      <c r="F187" s="1"/>
    </row>
    <row r="188" spans="1:6">
      <c r="A188" s="1"/>
      <c r="B188" s="1"/>
      <c r="C188" s="1"/>
      <c r="D188" s="1"/>
      <c r="F188" s="1"/>
    </row>
    <row r="189" spans="1:6">
      <c r="A189" s="1"/>
      <c r="B189" s="1"/>
      <c r="C189" s="1"/>
      <c r="D189" s="1"/>
      <c r="F189" s="1"/>
    </row>
    <row r="190" spans="1:6">
      <c r="A190" s="1"/>
      <c r="B190" s="1"/>
      <c r="C190" s="1"/>
      <c r="D190" s="1"/>
      <c r="F190" s="1"/>
    </row>
    <row r="191" spans="1:6">
      <c r="A191" s="1"/>
      <c r="B191" s="1"/>
      <c r="C191" s="1"/>
      <c r="D191" s="1"/>
      <c r="F191" s="1"/>
    </row>
    <row r="192" spans="1:6">
      <c r="A192" s="1"/>
      <c r="B192" s="1"/>
      <c r="C192" s="1"/>
      <c r="D192" s="1"/>
      <c r="F192" s="1"/>
    </row>
    <row r="193" spans="1:6">
      <c r="A193" s="1"/>
      <c r="B193" s="1"/>
      <c r="C193" s="1"/>
      <c r="D193" s="1"/>
      <c r="F193" s="1"/>
    </row>
    <row r="194" spans="1:6">
      <c r="A194" s="1"/>
      <c r="B194" s="1"/>
      <c r="C194" s="1"/>
      <c r="D194" s="1"/>
      <c r="F194" s="1"/>
    </row>
    <row r="195" spans="1:6">
      <c r="A195" s="1"/>
      <c r="B195" s="1"/>
      <c r="C195" s="1"/>
      <c r="D195" s="1"/>
      <c r="F195" s="1"/>
    </row>
    <row r="196" spans="1:6">
      <c r="A196" s="1"/>
      <c r="B196" s="1"/>
      <c r="C196" s="1"/>
      <c r="D196" s="1"/>
      <c r="F196" s="1"/>
    </row>
    <row r="197" spans="1:6">
      <c r="A197" s="1"/>
      <c r="B197" s="1"/>
      <c r="C197" s="1"/>
      <c r="D197" s="1"/>
      <c r="F197" s="1"/>
    </row>
    <row r="198" spans="1:6">
      <c r="A198" s="1"/>
      <c r="B198" s="1"/>
      <c r="C198" s="1"/>
      <c r="D198" s="1"/>
      <c r="F198" s="1"/>
    </row>
    <row r="199" spans="1:6">
      <c r="A199" s="1"/>
      <c r="B199" s="1"/>
      <c r="C199" s="1"/>
      <c r="D199" s="1"/>
      <c r="F199" s="1"/>
    </row>
    <row r="200" spans="1:6">
      <c r="A200" s="1"/>
      <c r="B200" s="1"/>
      <c r="C200" s="1"/>
      <c r="D200" s="1"/>
      <c r="F200" s="1"/>
    </row>
    <row r="201" spans="1:6">
      <c r="A201" s="1"/>
      <c r="B201" s="1"/>
      <c r="C201" s="1"/>
      <c r="D201" s="1"/>
      <c r="F201" s="1"/>
    </row>
    <row r="202" spans="1:6">
      <c r="A202" s="1"/>
      <c r="B202" s="1"/>
      <c r="C202" s="1"/>
      <c r="D202" s="1"/>
      <c r="F202" s="1"/>
    </row>
    <row r="203" spans="1:6">
      <c r="A203" s="1"/>
      <c r="B203" s="1"/>
      <c r="C203" s="1"/>
      <c r="D203" s="1"/>
      <c r="F203" s="1"/>
    </row>
    <row r="204" spans="1:6">
      <c r="A204" s="1"/>
      <c r="B204" s="1"/>
      <c r="C204" s="1"/>
      <c r="D204" s="1"/>
      <c r="F204" s="1"/>
    </row>
    <row r="205" spans="1:6">
      <c r="A205" s="1"/>
      <c r="B205" s="1"/>
      <c r="C205" s="1"/>
      <c r="D205" s="1"/>
      <c r="F205" s="1"/>
    </row>
    <row r="206" spans="1:6">
      <c r="A206" s="1"/>
      <c r="B206" s="1"/>
      <c r="C206" s="1"/>
      <c r="D206" s="1"/>
      <c r="F206" s="1"/>
    </row>
    <row r="207" spans="1:6">
      <c r="A207" s="1"/>
      <c r="B207" s="1"/>
      <c r="C207" s="1"/>
      <c r="D207" s="1"/>
      <c r="F207" s="1"/>
    </row>
    <row r="208" spans="1:6">
      <c r="A208" s="1"/>
      <c r="B208" s="1"/>
      <c r="C208" s="1"/>
      <c r="D208" s="1"/>
      <c r="F208" s="1"/>
    </row>
    <row r="209" spans="1:6">
      <c r="A209" s="1"/>
      <c r="B209" s="1"/>
      <c r="C209" s="1"/>
      <c r="D209" s="1"/>
      <c r="F209" s="1"/>
    </row>
    <row r="210" spans="1:6">
      <c r="A210" s="1"/>
      <c r="B210" s="1"/>
      <c r="C210" s="1"/>
      <c r="D210" s="1"/>
      <c r="F210" s="1"/>
    </row>
    <row r="211" spans="1:6">
      <c r="A211" s="1"/>
      <c r="B211" s="1"/>
      <c r="C211" s="1"/>
      <c r="D211" s="1"/>
      <c r="F211" s="1"/>
    </row>
    <row r="212" spans="1:6">
      <c r="A212" s="1"/>
      <c r="B212" s="1"/>
      <c r="C212" s="1"/>
      <c r="D212" s="1"/>
      <c r="F212" s="1"/>
    </row>
    <row r="213" spans="1:6">
      <c r="A213" s="1"/>
      <c r="B213" s="1"/>
      <c r="C213" s="1"/>
      <c r="D213" s="1"/>
      <c r="F213" s="1"/>
    </row>
    <row r="214" spans="1:6">
      <c r="A214" s="1"/>
      <c r="B214" s="1"/>
      <c r="C214" s="1"/>
      <c r="D214" s="1"/>
      <c r="F214" s="1"/>
    </row>
    <row r="215" spans="1:6">
      <c r="A215" s="1"/>
      <c r="B215" s="1"/>
      <c r="C215" s="1"/>
      <c r="D215" s="1"/>
      <c r="F215" s="1"/>
    </row>
    <row r="216" spans="1:6">
      <c r="A216" s="1"/>
      <c r="B216" s="1"/>
      <c r="C216" s="1"/>
      <c r="D216" s="1"/>
      <c r="F216" s="1"/>
    </row>
    <row r="217" spans="1:6">
      <c r="A217" s="1"/>
      <c r="B217" s="1"/>
      <c r="C217" s="1"/>
      <c r="D217" s="1"/>
      <c r="F217" s="1"/>
    </row>
    <row r="218" spans="1:6">
      <c r="A218" s="1"/>
      <c r="B218" s="1"/>
      <c r="C218" s="1"/>
      <c r="D218" s="1"/>
      <c r="F218" s="1"/>
    </row>
    <row r="219" spans="1:6">
      <c r="A219" s="1"/>
      <c r="B219" s="1"/>
      <c r="C219" s="1"/>
      <c r="D219" s="1"/>
      <c r="F219" s="1"/>
    </row>
    <row r="220" spans="1:6">
      <c r="A220" s="1"/>
      <c r="B220" s="1"/>
      <c r="C220" s="1"/>
      <c r="D220" s="1"/>
      <c r="F220" s="1"/>
    </row>
    <row r="221" spans="1:6">
      <c r="A221" s="1"/>
      <c r="B221" s="1"/>
      <c r="C221" s="1"/>
      <c r="D221" s="1"/>
      <c r="F221" s="1"/>
    </row>
    <row r="222" spans="1:6">
      <c r="A222" s="1"/>
      <c r="B222" s="1"/>
      <c r="C222" s="1"/>
      <c r="D222" s="1"/>
      <c r="F222" s="1"/>
    </row>
    <row r="223" spans="1:6">
      <c r="A223" s="1"/>
      <c r="B223" s="1"/>
      <c r="C223" s="1"/>
      <c r="D223" s="1"/>
      <c r="F223" s="1"/>
    </row>
    <row r="224" spans="1:6">
      <c r="A224" s="1"/>
      <c r="B224" s="1"/>
      <c r="C224" s="1"/>
      <c r="D224" s="1"/>
      <c r="F224" s="1"/>
    </row>
    <row r="225" spans="1:6">
      <c r="A225" s="1"/>
      <c r="B225" s="1"/>
      <c r="C225" s="1"/>
      <c r="D225" s="1"/>
      <c r="F225" s="1"/>
    </row>
    <row r="226" spans="1:6">
      <c r="A226" s="1"/>
      <c r="B226" s="1"/>
      <c r="C226" s="1"/>
      <c r="D226" s="1"/>
      <c r="F226" s="1"/>
    </row>
    <row r="227" spans="1:6">
      <c r="A227" s="1"/>
      <c r="B227" s="1"/>
      <c r="C227" s="1"/>
      <c r="D227" s="1"/>
      <c r="F227" s="1"/>
    </row>
    <row r="228" spans="1:6">
      <c r="A228" s="1"/>
      <c r="B228" s="1"/>
      <c r="C228" s="1"/>
      <c r="D228" s="1"/>
      <c r="F228" s="1"/>
    </row>
    <row r="229" spans="1:6">
      <c r="A229" s="1"/>
      <c r="B229" s="1"/>
      <c r="C229" s="1"/>
      <c r="D229" s="1"/>
      <c r="F229" s="1"/>
    </row>
    <row r="230" spans="1:6">
      <c r="A230" s="1"/>
      <c r="B230" s="1"/>
      <c r="C230" s="1"/>
      <c r="D230" s="1"/>
      <c r="F230" s="1"/>
    </row>
    <row r="231" spans="1:6">
      <c r="A231" s="1"/>
      <c r="B231" s="1"/>
      <c r="C231" s="1"/>
      <c r="D231" s="1"/>
      <c r="F231" s="1"/>
    </row>
    <row r="232" spans="1:6">
      <c r="A232" s="1"/>
      <c r="B232" s="1"/>
      <c r="C232" s="1"/>
      <c r="D232" s="1"/>
      <c r="F232" s="1"/>
    </row>
    <row r="233" spans="1:6">
      <c r="A233" s="1"/>
      <c r="B233" s="1"/>
      <c r="C233" s="1"/>
      <c r="D233" s="1"/>
      <c r="F233" s="1"/>
    </row>
    <row r="234" spans="1:6">
      <c r="A234" s="1"/>
      <c r="B234" s="1"/>
      <c r="C234" s="1"/>
      <c r="D234" s="1"/>
      <c r="F234" s="1"/>
    </row>
    <row r="235" spans="1:6">
      <c r="A235" s="1"/>
      <c r="B235" s="1"/>
      <c r="C235" s="1"/>
      <c r="D235" s="1"/>
      <c r="F235" s="1"/>
    </row>
    <row r="236" spans="1:6">
      <c r="A236" s="1"/>
      <c r="B236" s="1"/>
      <c r="C236" s="1"/>
      <c r="D236" s="1"/>
      <c r="F236" s="1"/>
    </row>
    <row r="237" spans="1:6">
      <c r="A237" s="1"/>
      <c r="B237" s="1"/>
      <c r="C237" s="1"/>
      <c r="D237" s="1"/>
      <c r="F237" s="1"/>
    </row>
    <row r="238" spans="1:6">
      <c r="A238" s="1"/>
      <c r="B238" s="1"/>
      <c r="C238" s="1"/>
      <c r="D238" s="1"/>
      <c r="F238" s="1"/>
    </row>
    <row r="239" spans="1:6">
      <c r="A239" s="1"/>
      <c r="B239" s="1"/>
      <c r="C239" s="1"/>
      <c r="D239" s="1"/>
      <c r="F239" s="1"/>
    </row>
    <row r="240" spans="1:6">
      <c r="A240" s="1"/>
      <c r="B240" s="1"/>
      <c r="C240" s="1"/>
      <c r="D240" s="1"/>
      <c r="F240" s="1"/>
    </row>
    <row r="241" spans="1:6">
      <c r="A241" s="1"/>
      <c r="B241" s="1"/>
      <c r="C241" s="1"/>
      <c r="D241" s="1"/>
      <c r="F241" s="1"/>
    </row>
    <row r="242" spans="1:6">
      <c r="A242" s="1"/>
      <c r="B242" s="1"/>
      <c r="C242" s="1"/>
      <c r="D242" s="1"/>
      <c r="F242" s="1"/>
    </row>
    <row r="243" spans="1:6">
      <c r="A243" s="1"/>
      <c r="B243" s="1"/>
      <c r="C243" s="1"/>
      <c r="D243" s="1"/>
      <c r="F243" s="1"/>
    </row>
    <row r="244" spans="1:6">
      <c r="A244" s="1"/>
      <c r="B244" s="1"/>
      <c r="C244" s="1"/>
      <c r="D244" s="1"/>
      <c r="F244" s="1"/>
    </row>
    <row r="245" spans="1:6">
      <c r="A245" s="1"/>
      <c r="B245" s="1"/>
      <c r="C245" s="1"/>
      <c r="D245" s="1"/>
      <c r="F245" s="1"/>
    </row>
    <row r="246" spans="1:6">
      <c r="A246" s="1"/>
      <c r="B246" s="1"/>
      <c r="C246" s="1"/>
      <c r="D246" s="1"/>
      <c r="F246" s="1"/>
    </row>
    <row r="247" spans="1:6">
      <c r="A247" s="1"/>
      <c r="B247" s="1"/>
      <c r="C247" s="1"/>
      <c r="D247" s="1"/>
      <c r="F247" s="1"/>
    </row>
    <row r="248" spans="1:6">
      <c r="A248" s="1"/>
      <c r="B248" s="1"/>
      <c r="C248" s="1"/>
      <c r="D248" s="1"/>
      <c r="F248" s="1"/>
    </row>
    <row r="249" spans="1:6">
      <c r="A249" s="1"/>
      <c r="B249" s="1"/>
      <c r="C249" s="1"/>
      <c r="D249" s="1"/>
      <c r="F249" s="1"/>
    </row>
    <row r="250" spans="1:6">
      <c r="A250" s="1"/>
      <c r="B250" s="1"/>
      <c r="C250" s="1"/>
      <c r="D250" s="1"/>
      <c r="F250" s="1"/>
    </row>
    <row r="251" spans="1:6">
      <c r="A251" s="1"/>
      <c r="B251" s="1"/>
      <c r="C251" s="1"/>
      <c r="D251" s="1"/>
      <c r="F251" s="1"/>
    </row>
    <row r="252" spans="1:6">
      <c r="A252" s="1"/>
      <c r="B252" s="1"/>
      <c r="C252" s="1"/>
      <c r="D252" s="1"/>
      <c r="F252" s="1"/>
    </row>
    <row r="253" spans="1:6">
      <c r="A253" s="1"/>
      <c r="B253" s="1"/>
      <c r="C253" s="1"/>
      <c r="D253" s="1"/>
      <c r="F253" s="1"/>
    </row>
    <row r="254" spans="1:6">
      <c r="A254" s="1"/>
      <c r="B254" s="1"/>
      <c r="C254" s="1"/>
      <c r="D254" s="1"/>
      <c r="F254" s="1"/>
    </row>
    <row r="255" spans="1:6">
      <c r="A255" s="1"/>
      <c r="B255" s="1"/>
      <c r="C255" s="1"/>
      <c r="D255" s="1"/>
      <c r="F255" s="1"/>
    </row>
    <row r="256" spans="1:6">
      <c r="A256" s="1"/>
      <c r="B256" s="1"/>
      <c r="C256" s="1"/>
      <c r="D256" s="1"/>
      <c r="F256" s="1"/>
    </row>
    <row r="257" spans="1:6">
      <c r="A257" s="1"/>
      <c r="B257" s="1"/>
      <c r="C257" s="1"/>
      <c r="D257" s="1"/>
      <c r="F257" s="1"/>
    </row>
    <row r="258" spans="1:6">
      <c r="A258" s="1"/>
      <c r="B258" s="1"/>
      <c r="C258" s="1"/>
      <c r="D258" s="1"/>
      <c r="F258" s="1"/>
    </row>
    <row r="259" spans="1:6">
      <c r="A259" s="1"/>
      <c r="B259" s="1"/>
      <c r="C259" s="1"/>
      <c r="D259" s="1"/>
      <c r="F259" s="1"/>
    </row>
    <row r="260" spans="1:6">
      <c r="A260" s="1"/>
      <c r="B260" s="1"/>
      <c r="C260" s="1"/>
      <c r="D260" s="1"/>
      <c r="F260" s="1"/>
    </row>
    <row r="261" spans="1:6">
      <c r="A261" s="1"/>
      <c r="B261" s="1"/>
      <c r="C261" s="1"/>
      <c r="D261" s="1"/>
      <c r="F261" s="1"/>
    </row>
    <row r="262" spans="1:6">
      <c r="A262" s="1"/>
      <c r="B262" s="1"/>
      <c r="C262" s="1"/>
      <c r="D262" s="1"/>
      <c r="F262" s="1"/>
    </row>
    <row r="263" spans="1:6">
      <c r="A263" s="1"/>
      <c r="B263" s="1"/>
      <c r="C263" s="1"/>
      <c r="D263" s="1"/>
      <c r="F263" s="1"/>
    </row>
    <row r="264" spans="1:6">
      <c r="A264" s="1"/>
      <c r="B264" s="1"/>
      <c r="C264" s="1"/>
      <c r="D264" s="1"/>
      <c r="F264" s="1"/>
    </row>
    <row r="265" spans="1:6">
      <c r="A265" s="1"/>
      <c r="B265" s="1"/>
      <c r="C265" s="1"/>
      <c r="D265" s="1"/>
      <c r="F265" s="1"/>
    </row>
    <row r="266" spans="1:6">
      <c r="A266" s="1"/>
      <c r="B266" s="1"/>
      <c r="C266" s="1"/>
      <c r="D266" s="1"/>
      <c r="F266" s="1"/>
    </row>
    <row r="267" spans="1:6">
      <c r="A267" s="1"/>
      <c r="B267" s="1"/>
      <c r="C267" s="1"/>
      <c r="D267" s="1"/>
      <c r="F267" s="1"/>
    </row>
    <row r="268" spans="1:6">
      <c r="A268" s="1"/>
      <c r="B268" s="1"/>
      <c r="C268" s="1"/>
      <c r="D268" s="1"/>
      <c r="F268" s="1"/>
    </row>
    <row r="269" spans="1:6">
      <c r="A269" s="1"/>
      <c r="B269" s="1"/>
      <c r="C269" s="1"/>
      <c r="D269" s="1"/>
      <c r="F269" s="1"/>
    </row>
    <row r="270" spans="1:6">
      <c r="A270" s="1"/>
      <c r="B270" s="1"/>
      <c r="C270" s="1"/>
      <c r="D270" s="1"/>
      <c r="F270" s="1"/>
    </row>
    <row r="271" spans="1:6">
      <c r="A271" s="1"/>
      <c r="B271" s="1"/>
      <c r="C271" s="1"/>
      <c r="D271" s="1"/>
      <c r="F271" s="1"/>
    </row>
    <row r="272" spans="1:6">
      <c r="A272" s="1"/>
      <c r="B272" s="1"/>
      <c r="C272" s="1"/>
      <c r="D272" s="1"/>
      <c r="F272" s="1"/>
    </row>
    <row r="273" spans="1:6">
      <c r="A273" s="1"/>
      <c r="B273" s="1"/>
      <c r="C273" s="1"/>
      <c r="D273" s="1"/>
      <c r="F273" s="1"/>
    </row>
    <row r="274" spans="1:6">
      <c r="A274" s="1"/>
      <c r="B274" s="1"/>
      <c r="C274" s="1"/>
      <c r="D274" s="1"/>
      <c r="F274" s="1"/>
    </row>
    <row r="275" spans="1:6">
      <c r="A275" s="1"/>
      <c r="B275" s="1"/>
      <c r="C275" s="1"/>
      <c r="D275" s="1"/>
      <c r="F275" s="1"/>
    </row>
    <row r="276" spans="1:6">
      <c r="A276" s="1"/>
      <c r="B276" s="1"/>
      <c r="C276" s="1"/>
      <c r="D276" s="1"/>
      <c r="F276" s="1"/>
    </row>
    <row r="277" spans="1:6">
      <c r="A277" s="1"/>
      <c r="B277" s="1"/>
      <c r="C277" s="1"/>
      <c r="D277" s="1"/>
      <c r="F277" s="1"/>
    </row>
    <row r="278" spans="1:6">
      <c r="A278" s="1"/>
      <c r="B278" s="1"/>
      <c r="C278" s="1"/>
      <c r="D278" s="1"/>
      <c r="F278" s="1"/>
    </row>
    <row r="279" spans="1:6">
      <c r="A279" s="1"/>
      <c r="B279" s="1"/>
      <c r="C279" s="1"/>
      <c r="D279" s="1"/>
      <c r="F279" s="1"/>
    </row>
    <row r="280" spans="1:6">
      <c r="A280" s="1"/>
      <c r="B280" s="1"/>
      <c r="C280" s="1"/>
      <c r="D280" s="1"/>
      <c r="F280" s="1"/>
    </row>
    <row r="281" spans="1:6">
      <c r="A281" s="1"/>
      <c r="B281" s="1"/>
      <c r="C281" s="1"/>
      <c r="D281" s="1"/>
      <c r="F281" s="1"/>
    </row>
    <row r="282" spans="1:6">
      <c r="A282" s="1"/>
      <c r="B282" s="1"/>
      <c r="C282" s="1"/>
      <c r="D282" s="1"/>
      <c r="F282" s="1"/>
    </row>
    <row r="283" spans="1:6">
      <c r="A283" s="1"/>
      <c r="B283" s="1"/>
      <c r="C283" s="1"/>
      <c r="D283" s="1"/>
      <c r="F283" s="1"/>
    </row>
    <row r="284" spans="1:6">
      <c r="A284" s="1"/>
      <c r="B284" s="1"/>
      <c r="C284" s="1"/>
      <c r="D284" s="1"/>
      <c r="F284" s="1"/>
    </row>
    <row r="285" spans="1:6">
      <c r="A285" s="1"/>
      <c r="B285" s="1"/>
      <c r="C285" s="1"/>
      <c r="D285" s="1"/>
      <c r="F285" s="1"/>
    </row>
    <row r="286" spans="1:6">
      <c r="A286" s="1"/>
      <c r="B286" s="1"/>
      <c r="C286" s="1"/>
      <c r="D286" s="1"/>
      <c r="F286" s="1"/>
    </row>
    <row r="287" spans="1:6">
      <c r="A287" s="1"/>
      <c r="B287" s="1"/>
      <c r="C287" s="1"/>
      <c r="D287" s="1"/>
      <c r="F287" s="1"/>
    </row>
    <row r="288" spans="1:6">
      <c r="A288" s="1"/>
      <c r="B288" s="1"/>
      <c r="C288" s="1"/>
      <c r="D288" s="1"/>
      <c r="F288" s="1"/>
    </row>
    <row r="289" spans="1:6">
      <c r="A289" s="1"/>
      <c r="B289" s="1"/>
      <c r="C289" s="1"/>
      <c r="D289" s="1"/>
      <c r="F289" s="1"/>
    </row>
    <row r="290" spans="1:6">
      <c r="A290" s="1"/>
      <c r="B290" s="1"/>
      <c r="C290" s="1"/>
      <c r="D290" s="1"/>
      <c r="F290" s="1"/>
    </row>
    <row r="291" spans="1:6">
      <c r="A291" s="1"/>
      <c r="B291" s="1"/>
      <c r="C291" s="1"/>
      <c r="D291" s="1"/>
      <c r="F291" s="1"/>
    </row>
    <row r="292" spans="1:6">
      <c r="A292" s="1"/>
      <c r="B292" s="1"/>
      <c r="C292" s="1"/>
      <c r="D292" s="1"/>
      <c r="F292" s="1"/>
    </row>
    <row r="293" spans="1:6">
      <c r="A293" s="1"/>
      <c r="B293" s="1"/>
      <c r="C293" s="1"/>
      <c r="D293" s="1"/>
      <c r="F293" s="1"/>
    </row>
    <row r="294" spans="1:6">
      <c r="A294" s="1"/>
      <c r="B294" s="1"/>
      <c r="C294" s="1"/>
      <c r="D294" s="1"/>
      <c r="F294" s="1"/>
    </row>
    <row r="295" spans="1:6">
      <c r="A295" s="1"/>
      <c r="B295" s="1"/>
      <c r="C295" s="1"/>
      <c r="D295" s="1"/>
      <c r="F295" s="1"/>
    </row>
    <row r="296" spans="1:6">
      <c r="A296" s="1"/>
      <c r="B296" s="1"/>
      <c r="C296" s="1"/>
      <c r="D296" s="1"/>
      <c r="F296" s="1"/>
    </row>
    <row r="297" spans="1:6">
      <c r="A297" s="1"/>
      <c r="B297" s="1"/>
      <c r="C297" s="1"/>
      <c r="D297" s="1"/>
      <c r="F297" s="1"/>
    </row>
    <row r="298" spans="1:6">
      <c r="A298" s="1"/>
      <c r="B298" s="1"/>
      <c r="C298" s="1"/>
      <c r="D298" s="1"/>
      <c r="F298" s="1"/>
    </row>
    <row r="299" spans="1:6">
      <c r="A299" s="1"/>
      <c r="B299" s="1"/>
      <c r="C299" s="1"/>
      <c r="D299" s="1"/>
      <c r="F299" s="1"/>
    </row>
    <row r="300" spans="1:6">
      <c r="A300" s="1"/>
      <c r="B300" s="1"/>
      <c r="C300" s="1"/>
      <c r="D300" s="1"/>
      <c r="F300" s="1"/>
    </row>
    <row r="301" spans="1:6">
      <c r="A301" s="1"/>
      <c r="B301" s="1"/>
      <c r="C301" s="1"/>
      <c r="D301" s="1"/>
      <c r="F301" s="1"/>
    </row>
    <row r="302" spans="1:6">
      <c r="A302" s="1"/>
      <c r="B302" s="1"/>
      <c r="C302" s="1"/>
      <c r="D302" s="1"/>
      <c r="F302" s="1"/>
    </row>
    <row r="303" spans="1:6">
      <c r="A303" s="1"/>
      <c r="B303" s="1"/>
      <c r="C303" s="1"/>
      <c r="D303" s="1"/>
      <c r="F303" s="1"/>
    </row>
    <row r="304" spans="1:6">
      <c r="A304" s="1"/>
      <c r="B304" s="1"/>
      <c r="C304" s="1"/>
      <c r="D304" s="1"/>
      <c r="F304" s="1"/>
    </row>
    <row r="305" spans="1:6">
      <c r="A305" s="1"/>
      <c r="B305" s="1"/>
      <c r="C305" s="1"/>
      <c r="D305" s="1"/>
      <c r="F305" s="1"/>
    </row>
    <row r="306" spans="1:6">
      <c r="A306" s="1"/>
      <c r="B306" s="1"/>
      <c r="C306" s="1"/>
      <c r="D306" s="1"/>
      <c r="F306" s="1"/>
    </row>
    <row r="307" spans="1:6">
      <c r="A307" s="1"/>
      <c r="B307" s="1"/>
      <c r="C307" s="1"/>
      <c r="D307" s="1"/>
      <c r="F307" s="1"/>
    </row>
    <row r="308" spans="1:6">
      <c r="A308" s="1"/>
      <c r="B308" s="1"/>
      <c r="C308" s="1"/>
      <c r="D308" s="1"/>
      <c r="F308" s="1"/>
    </row>
    <row r="309" spans="1:6">
      <c r="A309" s="1"/>
      <c r="B309" s="1"/>
      <c r="C309" s="1"/>
      <c r="D309" s="1"/>
      <c r="F309" s="1"/>
    </row>
    <row r="310" spans="1:6">
      <c r="A310" s="1"/>
      <c r="B310" s="1"/>
      <c r="C310" s="1"/>
      <c r="D310" s="1"/>
      <c r="F310" s="1"/>
    </row>
    <row r="311" spans="1:6">
      <c r="A311" s="1"/>
      <c r="B311" s="1"/>
      <c r="C311" s="1"/>
      <c r="D311" s="1"/>
      <c r="F311" s="1"/>
    </row>
    <row r="312" spans="1:6">
      <c r="A312" s="1"/>
      <c r="B312" s="1"/>
      <c r="C312" s="1"/>
      <c r="D312" s="1"/>
      <c r="F312" s="1"/>
    </row>
    <row r="313" spans="1:6">
      <c r="A313" s="1"/>
      <c r="B313" s="1"/>
      <c r="C313" s="1"/>
      <c r="D313" s="1"/>
      <c r="F313" s="1"/>
    </row>
    <row r="314" spans="1:6">
      <c r="A314" s="1"/>
      <c r="B314" s="1"/>
      <c r="C314" s="1"/>
      <c r="D314" s="1"/>
      <c r="F314" s="1"/>
    </row>
    <row r="315" spans="1:6">
      <c r="A315" s="1"/>
      <c r="B315" s="1"/>
      <c r="C315" s="1"/>
      <c r="D315" s="1"/>
      <c r="F315" s="1"/>
    </row>
    <row r="316" spans="1:6">
      <c r="A316" s="1"/>
      <c r="B316" s="1"/>
      <c r="C316" s="1"/>
      <c r="D316" s="1"/>
      <c r="F316" s="1"/>
    </row>
    <row r="317" spans="1:6">
      <c r="A317" s="1"/>
      <c r="B317" s="1"/>
      <c r="C317" s="1"/>
      <c r="D317" s="1"/>
      <c r="F317" s="1"/>
    </row>
    <row r="318" spans="1:6">
      <c r="A318" s="1"/>
      <c r="B318" s="1"/>
      <c r="C318" s="1"/>
      <c r="D318" s="1"/>
      <c r="F318" s="1"/>
    </row>
    <row r="319" spans="1:6">
      <c r="A319" s="1"/>
      <c r="B319" s="1"/>
      <c r="C319" s="1"/>
      <c r="D319" s="1"/>
      <c r="F319" s="1"/>
    </row>
    <row r="320" spans="1:6">
      <c r="A320" s="1"/>
      <c r="B320" s="1"/>
      <c r="C320" s="1"/>
      <c r="D320" s="1"/>
      <c r="F320" s="1"/>
    </row>
    <row r="321" spans="1:6">
      <c r="A321" s="1"/>
      <c r="B321" s="1"/>
      <c r="C321" s="1"/>
      <c r="D321" s="1"/>
      <c r="F321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905DD-A867-4D5E-8B2B-AD3005FFDA91}">
  <dimension ref="A1:I321"/>
  <sheetViews>
    <sheetView tabSelected="1" zoomScale="80" zoomScaleNormal="80" workbookViewId="0">
      <selection activeCell="M8" sqref="M8"/>
    </sheetView>
  </sheetViews>
  <sheetFormatPr defaultRowHeight="14.5"/>
  <cols>
    <col min="1" max="1" width="14.26953125" customWidth="1"/>
    <col min="2" max="2" width="10.90625" customWidth="1"/>
    <col min="3" max="3" width="12.26953125" customWidth="1"/>
    <col min="4" max="4" width="13" customWidth="1"/>
    <col min="5" max="5" width="12.26953125" customWidth="1"/>
    <col min="6" max="6" width="12.08984375" customWidth="1"/>
  </cols>
  <sheetData>
    <row r="1" spans="1:9" ht="42">
      <c r="A1" s="2" t="s">
        <v>0</v>
      </c>
      <c r="B1" s="2" t="s">
        <v>12</v>
      </c>
      <c r="C1" s="2" t="s">
        <v>4</v>
      </c>
      <c r="D1" s="2" t="s">
        <v>5</v>
      </c>
      <c r="E1" s="2" t="s">
        <v>8</v>
      </c>
      <c r="F1" s="2" t="s">
        <v>102</v>
      </c>
      <c r="G1" s="2" t="s">
        <v>2</v>
      </c>
      <c r="H1" s="2" t="s">
        <v>145</v>
      </c>
      <c r="I1" s="2" t="s">
        <v>117</v>
      </c>
    </row>
    <row r="2" spans="1:9">
      <c r="A2" s="1" t="s">
        <v>38</v>
      </c>
      <c r="B2" s="1">
        <v>685379.08</v>
      </c>
      <c r="C2" s="1">
        <v>79346.100000000006</v>
      </c>
      <c r="D2" s="1">
        <v>9628</v>
      </c>
      <c r="E2" s="1">
        <v>99</v>
      </c>
      <c r="F2">
        <f>IF(G2="East",1,0)</f>
        <v>0</v>
      </c>
      <c r="G2" s="1" t="s">
        <v>27</v>
      </c>
      <c r="H2">
        <f>149038.0278+1.183033881*C2+33.94798174*D2+2804.165526*E2-16716.89105*F2</f>
        <v>847370.70769193419</v>
      </c>
      <c r="I2">
        <f>B2-H2</f>
        <v>-161991.62769193423</v>
      </c>
    </row>
    <row r="3" spans="1:9">
      <c r="A3" s="1" t="s">
        <v>33</v>
      </c>
      <c r="B3" s="1">
        <v>595467.6</v>
      </c>
      <c r="C3" s="1">
        <v>138855.51</v>
      </c>
      <c r="D3" s="1">
        <v>5145</v>
      </c>
      <c r="E3" s="1">
        <v>88.2</v>
      </c>
      <c r="F3">
        <f>IF(G3="East",1,0)</f>
        <v>0</v>
      </c>
      <c r="G3" s="1" t="s">
        <v>27</v>
      </c>
      <c r="H3">
        <f>149038.0278+1.183033881*C3+33.94798174*D3+2804.165526*E3-16716.89105*F3</f>
        <v>735298.56613903434</v>
      </c>
      <c r="I3">
        <f>B3-H3</f>
        <v>-139830.96613903437</v>
      </c>
    </row>
    <row r="4" spans="1:9">
      <c r="A4" s="1" t="s">
        <v>30</v>
      </c>
      <c r="B4" s="1">
        <v>641865.03</v>
      </c>
      <c r="C4" s="1">
        <v>54597.83</v>
      </c>
      <c r="D4" s="1">
        <v>9429</v>
      </c>
      <c r="E4" s="1">
        <v>83.3</v>
      </c>
      <c r="F4">
        <f>IF(G4="East",1,0)</f>
        <v>0</v>
      </c>
      <c r="G4" s="1" t="s">
        <v>20</v>
      </c>
      <c r="H4">
        <f>149038.0278+1.183033881*C4+33.94798174*D4+2804.165526*E4-16716.89105*F4</f>
        <v>767311.61866133823</v>
      </c>
      <c r="I4">
        <f>B4-H4</f>
        <v>-125446.5886613382</v>
      </c>
    </row>
    <row r="5" spans="1:9">
      <c r="A5" s="1" t="s">
        <v>44</v>
      </c>
      <c r="B5" s="1">
        <v>627171.9</v>
      </c>
      <c r="C5" s="1">
        <v>141540.29</v>
      </c>
      <c r="D5" s="1">
        <v>5400</v>
      </c>
      <c r="E5" s="1">
        <v>87</v>
      </c>
      <c r="F5">
        <f>IF(G5="East",1,0)</f>
        <v>0</v>
      </c>
      <c r="G5" s="1" t="s">
        <v>24</v>
      </c>
      <c r="H5">
        <f>149038.0278+1.183033881*C5+33.94798174*D5+2804.165526*E5-16716.89105*F5</f>
        <v>743766.48855456559</v>
      </c>
      <c r="I5">
        <f>B5-H5</f>
        <v>-116594.58855456556</v>
      </c>
    </row>
    <row r="6" spans="1:9">
      <c r="A6" s="1" t="s">
        <v>98</v>
      </c>
      <c r="B6" s="1">
        <v>538376</v>
      </c>
      <c r="C6" s="1">
        <v>46146.239999999998</v>
      </c>
      <c r="D6" s="1">
        <v>5804</v>
      </c>
      <c r="E6" s="1">
        <v>86.9</v>
      </c>
      <c r="F6">
        <f>IF(G6="East",1,0)</f>
        <v>0</v>
      </c>
      <c r="G6" s="1" t="s">
        <v>24</v>
      </c>
      <c r="H6">
        <f>149038.0278+1.183033881*C6+33.94798174*D6+2804.165526*E6-16716.89105*F6</f>
        <v>644346.66342911753</v>
      </c>
      <c r="I6">
        <f>B6-H6</f>
        <v>-105970.66342911753</v>
      </c>
    </row>
    <row r="7" spans="1:9">
      <c r="A7" s="1" t="s">
        <v>14</v>
      </c>
      <c r="B7" s="1">
        <v>658920.30000000005</v>
      </c>
      <c r="C7" s="1">
        <v>56856.63</v>
      </c>
      <c r="D7" s="1">
        <v>9431</v>
      </c>
      <c r="E7" s="1">
        <v>86.9</v>
      </c>
      <c r="F7">
        <f>IF(G7="East",1,0)</f>
        <v>1</v>
      </c>
      <c r="G7" s="1" t="s">
        <v>15</v>
      </c>
      <c r="H7">
        <f>149038.0278+1.183033881*C7+33.94798174*D7+2804.165526*E7-16716.89105*F7</f>
        <v>763429.85639882111</v>
      </c>
      <c r="I7">
        <f>B7-H7</f>
        <v>-104509.55639882106</v>
      </c>
    </row>
    <row r="8" spans="1:9">
      <c r="A8" s="1" t="s">
        <v>25</v>
      </c>
      <c r="B8" s="1">
        <v>415721.82</v>
      </c>
      <c r="C8" s="1">
        <v>30356.28</v>
      </c>
      <c r="D8" s="1">
        <v>2822</v>
      </c>
      <c r="E8" s="1">
        <v>84.8</v>
      </c>
      <c r="F8">
        <f>IF(G8="East",1,0)</f>
        <v>0</v>
      </c>
      <c r="G8" s="1" t="s">
        <v>20</v>
      </c>
      <c r="H8">
        <f>149038.0278+1.183033881*C8+33.94798174*D8+2804.165526*E8-16716.89105*F8</f>
        <v>518544.97661620274</v>
      </c>
      <c r="I8">
        <f>B8-H8</f>
        <v>-102823.15661620273</v>
      </c>
    </row>
    <row r="9" spans="1:9">
      <c r="A9" s="1" t="s">
        <v>26</v>
      </c>
      <c r="B9" s="1">
        <v>800451.94</v>
      </c>
      <c r="C9" s="1">
        <v>172415.52</v>
      </c>
      <c r="D9" s="1">
        <v>8927</v>
      </c>
      <c r="E9" s="1">
        <v>86.2</v>
      </c>
      <c r="F9">
        <f>IF(G9="East",1,0)</f>
        <v>0</v>
      </c>
      <c r="G9" s="1" t="s">
        <v>27</v>
      </c>
      <c r="H9">
        <f>149038.0278+1.183033881*C9+33.94798174*D9+2804.165526*E9-16716.89105*F9</f>
        <v>897784.13090441306</v>
      </c>
      <c r="I9">
        <f>B9-H9</f>
        <v>-97332.190904413117</v>
      </c>
    </row>
    <row r="10" spans="1:9">
      <c r="A10" s="1" t="s">
        <v>35</v>
      </c>
      <c r="B10" s="1">
        <v>463534.25</v>
      </c>
      <c r="C10" s="1">
        <v>53015.46</v>
      </c>
      <c r="D10" s="1">
        <v>3279</v>
      </c>
      <c r="E10" s="1">
        <v>84.3</v>
      </c>
      <c r="F10">
        <f>IF(G10="East",1,0)</f>
        <v>0</v>
      </c>
      <c r="G10" s="1" t="s">
        <v>27</v>
      </c>
      <c r="H10">
        <f>149038.0278+1.183033881*C10+33.94798174*D10+2804.165526*E10-16716.89105*F10</f>
        <v>559463.69916406029</v>
      </c>
      <c r="I10">
        <f>B10-H10</f>
        <v>-95929.449164060294</v>
      </c>
    </row>
    <row r="11" spans="1:9">
      <c r="A11" s="1" t="s">
        <v>70</v>
      </c>
      <c r="B11" s="1">
        <v>449465.06</v>
      </c>
      <c r="C11" s="1">
        <v>41657.64</v>
      </c>
      <c r="D11" s="1">
        <v>3135</v>
      </c>
      <c r="E11" s="1">
        <v>85.4</v>
      </c>
      <c r="F11">
        <f>IF(G11="East",1,0)</f>
        <v>0</v>
      </c>
      <c r="G11" s="1" t="s">
        <v>27</v>
      </c>
      <c r="H11">
        <f>149038.0278+1.183033881*C11+33.94798174*D11+2804.165526*E11-16716.89105*F11</f>
        <v>544223.08599780092</v>
      </c>
      <c r="I11">
        <f>B11-H11</f>
        <v>-94758.025997800927</v>
      </c>
    </row>
    <row r="12" spans="1:9">
      <c r="A12" s="1" t="s">
        <v>56</v>
      </c>
      <c r="B12" s="1">
        <v>633638.03</v>
      </c>
      <c r="C12" s="1">
        <v>71320.66</v>
      </c>
      <c r="D12" s="1">
        <v>7888</v>
      </c>
      <c r="E12" s="1">
        <v>78.099999999999994</v>
      </c>
      <c r="F12">
        <f>IF(G12="East",1,0)</f>
        <v>0</v>
      </c>
      <c r="G12" s="1" t="s">
        <v>24</v>
      </c>
      <c r="H12">
        <f>149038.0278+1.183033881*C12+33.94798174*D12+2804.165526*E12-16716.89105*F12</f>
        <v>720199.79254100146</v>
      </c>
      <c r="I12">
        <f>B12-H12</f>
        <v>-86561.76254100143</v>
      </c>
    </row>
    <row r="13" spans="1:9">
      <c r="A13" s="1" t="s">
        <v>91</v>
      </c>
      <c r="B13" s="1">
        <v>673076.34</v>
      </c>
      <c r="C13" s="1">
        <v>61784.11</v>
      </c>
      <c r="D13" s="1">
        <v>8564</v>
      </c>
      <c r="E13" s="1">
        <v>87.4</v>
      </c>
      <c r="F13">
        <f>IF(G13="East",1,0)</f>
        <v>0</v>
      </c>
      <c r="G13" s="1" t="s">
        <v>24</v>
      </c>
      <c r="H13">
        <f>149038.0278+1.183033881*C13+33.94798174*D13+2804.165526*E13-16716.89105*F13</f>
        <v>757945.30583119101</v>
      </c>
      <c r="I13">
        <f>B13-H13</f>
        <v>-84868.965831191046</v>
      </c>
    </row>
    <row r="14" spans="1:9">
      <c r="A14" s="1" t="s">
        <v>14</v>
      </c>
      <c r="B14" s="1">
        <v>678722.06</v>
      </c>
      <c r="C14" s="1">
        <v>59921.75</v>
      </c>
      <c r="D14" s="1">
        <v>9113</v>
      </c>
      <c r="E14" s="1">
        <v>88</v>
      </c>
      <c r="F14">
        <f>IF(G14="East",1,0)</f>
        <v>1</v>
      </c>
      <c r="G14" s="1" t="s">
        <v>15</v>
      </c>
      <c r="H14">
        <f>149038.0278+1.183033881*C14+33.94798174*D14+2804.165526*E14-16716.89105*F14</f>
        <v>759345.12109343172</v>
      </c>
      <c r="I14">
        <f>B14-H14</f>
        <v>-80623.061093431665</v>
      </c>
    </row>
    <row r="15" spans="1:9">
      <c r="A15" s="1" t="s">
        <v>96</v>
      </c>
      <c r="B15" s="1">
        <v>401582.58</v>
      </c>
      <c r="C15" s="1">
        <v>24362.98</v>
      </c>
      <c r="D15" s="1">
        <v>1462</v>
      </c>
      <c r="E15" s="1">
        <v>89.3</v>
      </c>
      <c r="F15">
        <f>IF(G15="East",1,0)</f>
        <v>0</v>
      </c>
      <c r="G15" s="1" t="s">
        <v>27</v>
      </c>
      <c r="H15">
        <f>149038.0278+1.183033881*C15+33.94798174*D15+2804.165526*E15-16716.89105*F15</f>
        <v>477904.18935780542</v>
      </c>
      <c r="I15">
        <f>B15-H15</f>
        <v>-76321.609357805399</v>
      </c>
    </row>
    <row r="16" spans="1:9">
      <c r="A16" s="1" t="s">
        <v>51</v>
      </c>
      <c r="B16" s="1">
        <v>684217.32</v>
      </c>
      <c r="C16" s="1">
        <v>42415.47</v>
      </c>
      <c r="D16" s="1">
        <v>8512</v>
      </c>
      <c r="E16" s="1">
        <v>96.8</v>
      </c>
      <c r="F16">
        <f>IF(G16="East",1,0)</f>
        <v>0</v>
      </c>
      <c r="G16" s="1" t="s">
        <v>27</v>
      </c>
      <c r="H16">
        <f>149038.0278+1.183033881*C16+33.94798174*D16+2804.165526*E16-16716.89105*F16</f>
        <v>759625.40937621915</v>
      </c>
      <c r="I16">
        <f>B16-H16</f>
        <v>-75408.089376219199</v>
      </c>
    </row>
    <row r="17" spans="1:9">
      <c r="A17" s="1" t="s">
        <v>29</v>
      </c>
      <c r="B17" s="1">
        <v>511844.41</v>
      </c>
      <c r="C17" s="1">
        <v>68600.62</v>
      </c>
      <c r="D17" s="1">
        <v>3988</v>
      </c>
      <c r="E17" s="1">
        <v>85</v>
      </c>
      <c r="F17">
        <f>IF(G17="East",1,0)</f>
        <v>1</v>
      </c>
      <c r="G17" s="1" t="s">
        <v>15</v>
      </c>
      <c r="H17">
        <f>149038.0278+1.183033881*C17+33.94798174*D17+2804.165526*E17-16716.89105*F17</f>
        <v>587216.61535672634</v>
      </c>
      <c r="I17">
        <f>B17-H17</f>
        <v>-75372.205356726365</v>
      </c>
    </row>
    <row r="18" spans="1:9">
      <c r="A18" s="1" t="s">
        <v>74</v>
      </c>
      <c r="B18" s="1">
        <v>691288.19</v>
      </c>
      <c r="C18" s="1">
        <v>62949.7</v>
      </c>
      <c r="D18" s="1">
        <v>9458</v>
      </c>
      <c r="E18" s="1">
        <v>84.9</v>
      </c>
      <c r="F18">
        <f>IF(G18="East",1,0)</f>
        <v>1</v>
      </c>
      <c r="G18" s="1" t="s">
        <v>15</v>
      </c>
      <c r="H18">
        <f>149038.0278+1.183033881*C18+33.94798174*D18+2804.165526*E18-16716.89105*F18</f>
        <v>765946.42910310579</v>
      </c>
      <c r="I18">
        <f>B18-H18</f>
        <v>-74658.239103105851</v>
      </c>
    </row>
    <row r="19" spans="1:9">
      <c r="A19" s="1" t="s">
        <v>14</v>
      </c>
      <c r="B19" s="1">
        <v>634436</v>
      </c>
      <c r="C19" s="1">
        <v>43827.89</v>
      </c>
      <c r="D19" s="1">
        <v>8487</v>
      </c>
      <c r="E19" s="1">
        <v>84.4</v>
      </c>
      <c r="F19">
        <f>IF(G19="East",1,0)</f>
        <v>1</v>
      </c>
      <c r="G19" s="1" t="s">
        <v>15</v>
      </c>
      <c r="H19">
        <f>149038.0278+1.183033881*C19+33.94798174*D19+2804.165526*E19-16716.89105*F19</f>
        <v>708959.10697452119</v>
      </c>
      <c r="I19">
        <f>B19-H19</f>
        <v>-74523.106974521186</v>
      </c>
    </row>
    <row r="20" spans="1:9">
      <c r="A20" s="1" t="s">
        <v>29</v>
      </c>
      <c r="B20" s="1">
        <v>427917.38</v>
      </c>
      <c r="C20" s="1">
        <v>69816.350000000006</v>
      </c>
      <c r="D20" s="1">
        <v>971</v>
      </c>
      <c r="E20" s="1">
        <v>89.9</v>
      </c>
      <c r="F20">
        <f>IF(G20="East",1,0)</f>
        <v>1</v>
      </c>
      <c r="G20" s="1" t="s">
        <v>15</v>
      </c>
      <c r="H20">
        <f>149038.0278+1.183033881*C20+33.94798174*D20+2804.165526*E20-16716.89105*F20</f>
        <v>499974.21530469443</v>
      </c>
      <c r="I20">
        <f>B20-H20</f>
        <v>-72056.835304694425</v>
      </c>
    </row>
    <row r="21" spans="1:9">
      <c r="A21" s="1" t="s">
        <v>30</v>
      </c>
      <c r="B21" s="1">
        <v>799477.76000000001</v>
      </c>
      <c r="C21" s="1">
        <v>73771.91</v>
      </c>
      <c r="D21" s="1">
        <v>11695</v>
      </c>
      <c r="E21" s="1">
        <v>84.7</v>
      </c>
      <c r="F21">
        <f>IF(G21="East",1,0)</f>
        <v>0</v>
      </c>
      <c r="G21" s="1" t="s">
        <v>20</v>
      </c>
      <c r="H21">
        <f>149038.0278+1.183033881*C21+33.94798174*D21+2804.165526*E21-16716.89105*F21</f>
        <v>870847.16329758277</v>
      </c>
      <c r="I21">
        <f>B21-H21</f>
        <v>-71369.403297582758</v>
      </c>
    </row>
    <row r="22" spans="1:9">
      <c r="A22" s="1" t="s">
        <v>64</v>
      </c>
      <c r="B22" s="1">
        <v>593637.14</v>
      </c>
      <c r="C22" s="1">
        <v>32834.480000000003</v>
      </c>
      <c r="D22" s="1">
        <v>7576</v>
      </c>
      <c r="E22" s="1">
        <v>84.1</v>
      </c>
      <c r="F22">
        <f>IF(G22="East",1,0)</f>
        <v>1</v>
      </c>
      <c r="G22" s="1" t="s">
        <v>15</v>
      </c>
      <c r="H22">
        <f>149038.0278+1.183033881*C22+33.94798174*D22+2804.165526*E22-16716.89105*F22</f>
        <v>664185.66945385688</v>
      </c>
      <c r="I22">
        <f>B22-H22</f>
        <v>-70548.529453856871</v>
      </c>
    </row>
    <row r="23" spans="1:9">
      <c r="A23" s="1" t="s">
        <v>81</v>
      </c>
      <c r="B23" s="1">
        <v>721079.35</v>
      </c>
      <c r="C23" s="1">
        <v>46495.4</v>
      </c>
      <c r="D23" s="1">
        <v>9908</v>
      </c>
      <c r="E23" s="1">
        <v>89.4</v>
      </c>
      <c r="F23">
        <f>IF(G23="East",1,0)</f>
        <v>0</v>
      </c>
      <c r="G23" s="1" t="s">
        <v>27</v>
      </c>
      <c r="H23">
        <f>149038.0278+1.183033881*C23+33.94798174*D23+2804.165526*E23-16716.89105*F23</f>
        <v>791092.66241496743</v>
      </c>
      <c r="I23">
        <f>B23-H23</f>
        <v>-70013.312414967455</v>
      </c>
    </row>
    <row r="24" spans="1:9">
      <c r="A24" s="1" t="s">
        <v>52</v>
      </c>
      <c r="B24" s="1">
        <v>441275.42</v>
      </c>
      <c r="C24" s="1">
        <v>19063.48</v>
      </c>
      <c r="D24" s="1">
        <v>1906</v>
      </c>
      <c r="E24" s="1">
        <v>97.8</v>
      </c>
      <c r="F24">
        <f>IF(G24="East",1,0)</f>
        <v>0</v>
      </c>
      <c r="G24" s="1" t="s">
        <v>20</v>
      </c>
      <c r="H24">
        <f>149038.0278+1.183033881*C24+33.94798174*D24+2804.165526*E24-16716.89105*F24</f>
        <v>510543.01216900593</v>
      </c>
      <c r="I24">
        <f>B24-H24</f>
        <v>-69267.592169005948</v>
      </c>
    </row>
    <row r="25" spans="1:9">
      <c r="A25" s="1" t="s">
        <v>89</v>
      </c>
      <c r="B25" s="1">
        <v>660633.99</v>
      </c>
      <c r="C25" s="1">
        <v>48752.92</v>
      </c>
      <c r="D25" s="1">
        <v>8052</v>
      </c>
      <c r="E25" s="1">
        <v>94.9</v>
      </c>
      <c r="F25">
        <f>IF(G25="East",1,0)</f>
        <v>1</v>
      </c>
      <c r="G25" s="1" t="s">
        <v>15</v>
      </c>
      <c r="H25">
        <f>149038.0278+1.183033881*C25+33.94798174*D25+2804.165526*E25-16716.89105*F25</f>
        <v>729461.95029556262</v>
      </c>
      <c r="I25">
        <f>B25-H25</f>
        <v>-68827.960295562632</v>
      </c>
    </row>
    <row r="26" spans="1:9">
      <c r="A26" s="1" t="s">
        <v>89</v>
      </c>
      <c r="B26" s="1">
        <v>593343</v>
      </c>
      <c r="C26" s="1">
        <v>29344.93</v>
      </c>
      <c r="D26" s="1">
        <v>7446</v>
      </c>
      <c r="E26" s="1">
        <v>86.2</v>
      </c>
      <c r="F26">
        <f>IF(G26="East",1,0)</f>
        <v>1</v>
      </c>
      <c r="G26" s="1" t="s">
        <v>15</v>
      </c>
      <c r="H26">
        <f>149038.0278+1.183033881*C26+33.94798174*D26+2804.165526*E26-16716.89105*F26</f>
        <v>661532.92355281336</v>
      </c>
      <c r="I26">
        <f>B26-H26</f>
        <v>-68189.923552813358</v>
      </c>
    </row>
    <row r="27" spans="1:9">
      <c r="A27" s="1" t="s">
        <v>73</v>
      </c>
      <c r="B27" s="1">
        <v>675917.63</v>
      </c>
      <c r="C27" s="1">
        <v>56413.83</v>
      </c>
      <c r="D27" s="1">
        <v>8303</v>
      </c>
      <c r="E27" s="1">
        <v>93.6</v>
      </c>
      <c r="F27">
        <f>IF(G27="East",1,0)</f>
        <v>1</v>
      </c>
      <c r="G27" s="1" t="s">
        <v>15</v>
      </c>
      <c r="H27">
        <f>149038.0278+1.183033881*C27+33.94798174*D27+2804.165526*E27-16716.89105*F27</f>
        <v>743400.59461779427</v>
      </c>
      <c r="I27">
        <f>B27-H27</f>
        <v>-67482.964617794263</v>
      </c>
    </row>
    <row r="28" spans="1:9">
      <c r="A28" s="1" t="s">
        <v>98</v>
      </c>
      <c r="B28" s="1">
        <v>651164.18000000005</v>
      </c>
      <c r="C28" s="1">
        <v>60684.05</v>
      </c>
      <c r="D28" s="1">
        <v>6399</v>
      </c>
      <c r="E28" s="1">
        <v>99</v>
      </c>
      <c r="F28">
        <f>IF(G28="East",1,0)</f>
        <v>0</v>
      </c>
      <c r="G28" s="1" t="s">
        <v>24</v>
      </c>
      <c r="H28">
        <f>149038.0278+1.183033881*C28+33.94798174*D28+2804.165526*E28-16716.89105*F28</f>
        <v>715674.83721455815</v>
      </c>
      <c r="I28">
        <f>B28-H28</f>
        <v>-64510.657214558101</v>
      </c>
    </row>
    <row r="29" spans="1:9">
      <c r="A29" s="1" t="s">
        <v>55</v>
      </c>
      <c r="B29" s="1">
        <v>400831.65</v>
      </c>
      <c r="C29" s="1">
        <v>22071.64</v>
      </c>
      <c r="D29" s="1">
        <v>1814</v>
      </c>
      <c r="E29" s="1">
        <v>81.099999999999994</v>
      </c>
      <c r="F29">
        <f>IF(G29="East",1,0)</f>
        <v>0</v>
      </c>
      <c r="G29" s="1" t="s">
        <v>20</v>
      </c>
      <c r="H29">
        <f>149038.0278+1.183033881*C29+33.94798174*D29+2804.165526*E29-16716.89105*F29</f>
        <v>464148.98876419489</v>
      </c>
      <c r="I29">
        <f>B29-H29</f>
        <v>-63317.338764194865</v>
      </c>
    </row>
    <row r="30" spans="1:9">
      <c r="A30" s="1" t="s">
        <v>40</v>
      </c>
      <c r="B30" s="1">
        <v>630829.93999999994</v>
      </c>
      <c r="C30" s="1">
        <v>53762.92</v>
      </c>
      <c r="D30" s="1">
        <v>6821</v>
      </c>
      <c r="E30" s="1">
        <v>94.6</v>
      </c>
      <c r="F30">
        <f>IF(G30="East",1,0)</f>
        <v>1</v>
      </c>
      <c r="G30" s="1" t="s">
        <v>15</v>
      </c>
      <c r="H30">
        <f>149038.0278+1.183033881*C30+33.94798174*D30+2804.165526*E30-16716.89105*F30</f>
        <v>692757.73485963256</v>
      </c>
      <c r="I30">
        <f>B30-H30</f>
        <v>-61927.794859632617</v>
      </c>
    </row>
    <row r="31" spans="1:9">
      <c r="A31" s="1" t="s">
        <v>70</v>
      </c>
      <c r="B31" s="1">
        <v>643428.85</v>
      </c>
      <c r="C31" s="1">
        <v>81796.740000000005</v>
      </c>
      <c r="D31" s="1">
        <v>6177</v>
      </c>
      <c r="E31" s="1">
        <v>87.9</v>
      </c>
      <c r="F31">
        <f>IF(G31="East",1,0)</f>
        <v>0</v>
      </c>
      <c r="G31" s="1" t="s">
        <v>27</v>
      </c>
      <c r="H31">
        <f>149038.0278+1.183033881*C31+33.94798174*D31+2804.165526*E31-16716.89105*F31</f>
        <v>701989.17551872809</v>
      </c>
      <c r="I31">
        <f>B31-H31</f>
        <v>-58560.325518728117</v>
      </c>
    </row>
    <row r="32" spans="1:9">
      <c r="A32" s="1" t="s">
        <v>54</v>
      </c>
      <c r="B32" s="1">
        <v>725235.28</v>
      </c>
      <c r="C32" s="1">
        <v>50735.63</v>
      </c>
      <c r="D32" s="1">
        <v>9619</v>
      </c>
      <c r="E32" s="1">
        <v>93.8</v>
      </c>
      <c r="F32">
        <f>IF(G32="East",1,0)</f>
        <v>1</v>
      </c>
      <c r="G32" s="1" t="s">
        <v>15</v>
      </c>
      <c r="H32">
        <f>149038.0278+1.183033881*C32+33.94798174*D32+2804.165526*E32-16716.89105*F32</f>
        <v>781919.46870974009</v>
      </c>
      <c r="I32">
        <f>B32-H32</f>
        <v>-56684.188709740061</v>
      </c>
    </row>
    <row r="33" spans="1:9">
      <c r="A33" s="1" t="s">
        <v>52</v>
      </c>
      <c r="B33" s="1">
        <v>509484.81</v>
      </c>
      <c r="C33" s="1">
        <v>43896.13</v>
      </c>
      <c r="D33" s="1">
        <v>3853</v>
      </c>
      <c r="E33" s="1">
        <v>83</v>
      </c>
      <c r="F33">
        <f>IF(G33="East",1,0)</f>
        <v>0</v>
      </c>
      <c r="G33" s="1" t="s">
        <v>20</v>
      </c>
      <c r="H33">
        <f>149038.0278+1.183033881*C33+33.94798174*D33+2804.165526*E33-16716.89105*F33</f>
        <v>564515.9491370006</v>
      </c>
      <c r="I33">
        <f>B33-H33</f>
        <v>-55031.139137000602</v>
      </c>
    </row>
    <row r="34" spans="1:9">
      <c r="A34" s="1" t="s">
        <v>55</v>
      </c>
      <c r="B34" s="1">
        <v>527300.13</v>
      </c>
      <c r="C34" s="1">
        <v>70276.28</v>
      </c>
      <c r="D34" s="1">
        <v>3043</v>
      </c>
      <c r="E34" s="1">
        <v>87.9</v>
      </c>
      <c r="F34">
        <f>IF(G34="East",1,0)</f>
        <v>0</v>
      </c>
      <c r="G34" s="1" t="s">
        <v>20</v>
      </c>
      <c r="H34">
        <f>149038.0278+1.183033881*C34+33.94798174*D34+2804.165526*E34-16716.89105*F34</f>
        <v>581967.10624086275</v>
      </c>
      <c r="I34">
        <f>B34-H34</f>
        <v>-54666.976240862743</v>
      </c>
    </row>
    <row r="35" spans="1:9">
      <c r="A35" s="1" t="s">
        <v>101</v>
      </c>
      <c r="B35" s="1">
        <v>620264.19999999995</v>
      </c>
      <c r="C35" s="1">
        <v>76614.320000000007</v>
      </c>
      <c r="D35" s="1">
        <v>5639</v>
      </c>
      <c r="E35" s="1">
        <v>92.9</v>
      </c>
      <c r="F35">
        <f>IF(G35="East",1,0)</f>
        <v>1</v>
      </c>
      <c r="G35" s="1" t="s">
        <v>15</v>
      </c>
      <c r="H35">
        <f>149038.0278+1.183033881*C35+33.94798174*D35+2804.165526*E35-16716.89105*F35</f>
        <v>674898.11947703606</v>
      </c>
      <c r="I35">
        <f>B35-H35</f>
        <v>-54633.919477036106</v>
      </c>
    </row>
    <row r="36" spans="1:9">
      <c r="A36" s="1" t="s">
        <v>58</v>
      </c>
      <c r="B36" s="1">
        <v>577732.56999999995</v>
      </c>
      <c r="C36" s="1">
        <v>70488.2</v>
      </c>
      <c r="D36" s="1">
        <v>4312</v>
      </c>
      <c r="E36" s="1">
        <v>90.2</v>
      </c>
      <c r="F36">
        <f>IF(G36="East",1,0)</f>
        <v>0</v>
      </c>
      <c r="G36" s="1" t="s">
        <v>20</v>
      </c>
      <c r="H36">
        <f>149038.0278+1.183033881*C36+33.94798174*D36+2804.165526*E36-16716.89105*F36</f>
        <v>631747.38431878423</v>
      </c>
      <c r="I36">
        <f>B36-H36</f>
        <v>-54014.81431878428</v>
      </c>
    </row>
    <row r="37" spans="1:9">
      <c r="A37" s="1" t="s">
        <v>73</v>
      </c>
      <c r="B37" s="1">
        <v>671868.59</v>
      </c>
      <c r="C37" s="1">
        <v>37983.35</v>
      </c>
      <c r="D37" s="1">
        <v>9283</v>
      </c>
      <c r="E37" s="1">
        <v>83.2</v>
      </c>
      <c r="F37">
        <f>IF(G37="East",1,0)</f>
        <v>1</v>
      </c>
      <c r="G37" s="1" t="s">
        <v>15</v>
      </c>
      <c r="H37">
        <f>149038.0278+1.183033881*C37+33.94798174*D37+2804.165526*E37-16716.89105*F37</f>
        <v>725702.41296950146</v>
      </c>
      <c r="I37">
        <f>B37-H37</f>
        <v>-53833.822969501489</v>
      </c>
    </row>
    <row r="38" spans="1:9">
      <c r="A38" s="1" t="s">
        <v>62</v>
      </c>
      <c r="B38" s="1">
        <v>650480.06000000006</v>
      </c>
      <c r="C38" s="1">
        <v>41443.410000000003</v>
      </c>
      <c r="D38" s="1">
        <v>7455</v>
      </c>
      <c r="E38" s="1">
        <v>90.1</v>
      </c>
      <c r="F38">
        <f>IF(G38="East",1,0)</f>
        <v>0</v>
      </c>
      <c r="G38" s="1" t="s">
        <v>24</v>
      </c>
      <c r="H38">
        <f>149038.0278+1.183033881*C38+33.94798174*D38+2804.165526*E38-16716.89105*F38</f>
        <v>703804.50373847422</v>
      </c>
      <c r="I38">
        <f>B38-H38</f>
        <v>-53324.443738474161</v>
      </c>
    </row>
    <row r="39" spans="1:9">
      <c r="A39" s="1" t="s">
        <v>33</v>
      </c>
      <c r="B39" s="1">
        <v>599603.4</v>
      </c>
      <c r="C39" s="1">
        <v>63630.21</v>
      </c>
      <c r="D39" s="1">
        <v>4460</v>
      </c>
      <c r="E39" s="1">
        <v>98.6</v>
      </c>
      <c r="F39">
        <f>IF(G39="East",1,0)</f>
        <v>0</v>
      </c>
      <c r="G39" s="1" t="s">
        <v>27</v>
      </c>
      <c r="H39">
        <f>149038.0278+1.183033881*C39+33.94798174*D39+2804.165526*E39-16716.89105*F39</f>
        <v>652213.44150914508</v>
      </c>
      <c r="I39">
        <f>B39-H39</f>
        <v>-52610.041509145056</v>
      </c>
    </row>
    <row r="40" spans="1:9">
      <c r="A40" s="1" t="s">
        <v>50</v>
      </c>
      <c r="B40" s="1">
        <v>697287.9</v>
      </c>
      <c r="C40" s="1">
        <v>33605.18</v>
      </c>
      <c r="D40" s="1">
        <v>9225</v>
      </c>
      <c r="E40" s="1">
        <v>88.4</v>
      </c>
      <c r="F40">
        <f>IF(G40="East",1,0)</f>
        <v>0</v>
      </c>
      <c r="G40" s="1" t="s">
        <v>27</v>
      </c>
      <c r="H40">
        <f>149038.0278+1.183033881*C40+33.94798174*D40+2804.165526*E40-16716.89105*F40</f>
        <v>749852.45836700359</v>
      </c>
      <c r="I40">
        <f>B40-H40</f>
        <v>-52564.55836700357</v>
      </c>
    </row>
    <row r="41" spans="1:9">
      <c r="A41" s="1" t="s">
        <v>100</v>
      </c>
      <c r="B41" s="1">
        <v>688368.46</v>
      </c>
      <c r="C41" s="1">
        <v>46767.99</v>
      </c>
      <c r="D41" s="1">
        <v>7973</v>
      </c>
      <c r="E41" s="1">
        <v>94.8</v>
      </c>
      <c r="F41">
        <f>IF(G41="East",1,0)</f>
        <v>0</v>
      </c>
      <c r="G41" s="1" t="s">
        <v>20</v>
      </c>
      <c r="H41">
        <f>149038.0278+1.183033881*C41+33.94798174*D41+2804.165526*E41-16716.89105*F41</f>
        <v>740868.29479408916</v>
      </c>
      <c r="I41">
        <f>B41-H41</f>
        <v>-52499.834794089198</v>
      </c>
    </row>
    <row r="42" spans="1:9">
      <c r="A42" s="1" t="s">
        <v>22</v>
      </c>
      <c r="B42" s="1">
        <v>726606.28</v>
      </c>
      <c r="C42" s="1">
        <v>55716.82</v>
      </c>
      <c r="D42" s="1">
        <v>10054</v>
      </c>
      <c r="E42" s="1">
        <v>84.9</v>
      </c>
      <c r="F42">
        <f>IF(G42="East",1,0)</f>
        <v>1</v>
      </c>
      <c r="G42" s="1" t="s">
        <v>15</v>
      </c>
      <c r="H42">
        <f>149038.0278+1.183033881*C42+33.94798174*D42+2804.165526*E42-16716.89105*F42</f>
        <v>777622.68412293843</v>
      </c>
      <c r="I42">
        <f>B42-H42</f>
        <v>-51016.404122938402</v>
      </c>
    </row>
    <row r="43" spans="1:9">
      <c r="A43" s="1" t="s">
        <v>14</v>
      </c>
      <c r="B43" s="1">
        <v>658832.62</v>
      </c>
      <c r="C43" s="1">
        <v>70389.11</v>
      </c>
      <c r="D43" s="1">
        <v>8302</v>
      </c>
      <c r="E43" s="1">
        <v>75</v>
      </c>
      <c r="F43">
        <f>IF(G43="East",1,0)</f>
        <v>1</v>
      </c>
      <c r="G43" s="1" t="s">
        <v>15</v>
      </c>
      <c r="H43">
        <f>149038.0278+1.183033881*C43+33.94798174*D43+2804.165526*E43-16716.89105*F43</f>
        <v>707742.39758891601</v>
      </c>
      <c r="I43">
        <f>B43-H43</f>
        <v>-48909.777588916011</v>
      </c>
    </row>
    <row r="44" spans="1:9">
      <c r="A44" s="1" t="s">
        <v>79</v>
      </c>
      <c r="B44" s="1">
        <v>570963.31000000006</v>
      </c>
      <c r="C44" s="1">
        <v>37324.230000000003</v>
      </c>
      <c r="D44" s="1">
        <v>5957</v>
      </c>
      <c r="E44" s="1">
        <v>85.9</v>
      </c>
      <c r="F44">
        <f>IF(G44="East",1,0)</f>
        <v>1</v>
      </c>
      <c r="G44" s="1" t="s">
        <v>15</v>
      </c>
      <c r="H44">
        <f>149038.0278+1.183033881*C44+33.94798174*D44+2804.165526*E44-16716.89105*F44</f>
        <v>619582.91133081669</v>
      </c>
      <c r="I44">
        <f>B44-H44</f>
        <v>-48619.601330816629</v>
      </c>
    </row>
    <row r="45" spans="1:9">
      <c r="A45" s="1" t="s">
        <v>92</v>
      </c>
      <c r="B45" s="1">
        <v>524899.56999999995</v>
      </c>
      <c r="C45" s="1">
        <v>45940.39</v>
      </c>
      <c r="D45" s="1">
        <v>4022</v>
      </c>
      <c r="E45" s="1">
        <v>83</v>
      </c>
      <c r="F45">
        <f>IF(G45="East",1,0)</f>
        <v>0</v>
      </c>
      <c r="G45" s="1" t="s">
        <v>24</v>
      </c>
      <c r="H45">
        <f>149038.0278+1.183033881*C45+33.94798174*D45+2804.165526*E45-16716.89105*F45</f>
        <v>572671.5868926337</v>
      </c>
      <c r="I45">
        <f>B45-H45</f>
        <v>-47772.01689263375</v>
      </c>
    </row>
    <row r="46" spans="1:9">
      <c r="A46" s="1" t="s">
        <v>17</v>
      </c>
      <c r="B46" s="1">
        <v>741341.44</v>
      </c>
      <c r="C46" s="1">
        <v>48412.639999999999</v>
      </c>
      <c r="D46" s="1">
        <v>9545</v>
      </c>
      <c r="E46" s="1">
        <v>97.6</v>
      </c>
      <c r="F46">
        <f>IF(G46="East",1,0)</f>
        <v>1</v>
      </c>
      <c r="G46" s="1" t="s">
        <v>15</v>
      </c>
      <c r="H46">
        <f>149038.0278+1.183033881*C46+33.94798174*D46+2804.165526*E46-16716.89105*F46</f>
        <v>787314.97118455591</v>
      </c>
      <c r="I46">
        <f>B46-H46</f>
        <v>-45973.531184555963</v>
      </c>
    </row>
    <row r="47" spans="1:9">
      <c r="A47" s="1" t="s">
        <v>71</v>
      </c>
      <c r="B47" s="1">
        <v>578949.84</v>
      </c>
      <c r="C47" s="1">
        <v>54479.33</v>
      </c>
      <c r="D47" s="1">
        <v>5012</v>
      </c>
      <c r="E47" s="1">
        <v>86</v>
      </c>
      <c r="F47">
        <f>IF(G47="East",1,0)</f>
        <v>0</v>
      </c>
      <c r="G47" s="1" t="s">
        <v>20</v>
      </c>
      <c r="H47">
        <f>149038.0278+1.183033881*C47+33.94798174*D47+2804.165526*E47-16716.89105*F47</f>
        <v>624794.4407210598</v>
      </c>
      <c r="I47">
        <f>B47-H47</f>
        <v>-45844.600721059833</v>
      </c>
    </row>
    <row r="48" spans="1:9">
      <c r="A48" s="1" t="s">
        <v>99</v>
      </c>
      <c r="B48" s="1">
        <v>536524.84</v>
      </c>
      <c r="C48" s="1">
        <v>23702.38</v>
      </c>
      <c r="D48" s="1">
        <v>5285</v>
      </c>
      <c r="E48" s="1">
        <v>79.7</v>
      </c>
      <c r="F48">
        <f>IF(G48="East",1,0)</f>
        <v>0</v>
      </c>
      <c r="G48" s="1" t="s">
        <v>24</v>
      </c>
      <c r="H48">
        <f>149038.0278+1.183033881*C48+33.94798174*D48+2804.165526*E48-16716.89105*F48</f>
        <v>579985.82231843681</v>
      </c>
      <c r="I48">
        <f>B48-H48</f>
        <v>-43460.982318436843</v>
      </c>
    </row>
    <row r="49" spans="1:9">
      <c r="A49" s="1" t="s">
        <v>30</v>
      </c>
      <c r="B49" s="1">
        <v>800979.78</v>
      </c>
      <c r="C49" s="1">
        <v>52483.77</v>
      </c>
      <c r="D49" s="1">
        <v>10453</v>
      </c>
      <c r="E49" s="1">
        <v>99</v>
      </c>
      <c r="F49">
        <f>IF(G49="East",1,0)</f>
        <v>0</v>
      </c>
      <c r="G49" s="1" t="s">
        <v>20</v>
      </c>
      <c r="H49">
        <f>149038.0278+1.183033881*C49+33.94798174*D49+2804.165526*E49-16716.89105*F49</f>
        <v>843598.74611483142</v>
      </c>
      <c r="I49">
        <f>B49-H49</f>
        <v>-42618.96611483139</v>
      </c>
    </row>
    <row r="50" spans="1:9">
      <c r="A50" s="1" t="s">
        <v>69</v>
      </c>
      <c r="B50" s="1">
        <v>554012.06999999995</v>
      </c>
      <c r="C50" s="1">
        <v>54966.18</v>
      </c>
      <c r="D50" s="1">
        <v>4423</v>
      </c>
      <c r="E50" s="1">
        <v>88.7</v>
      </c>
      <c r="F50">
        <f>IF(G50="East",1,0)</f>
        <v>1</v>
      </c>
      <c r="G50" s="1" t="s">
        <v>15</v>
      </c>
      <c r="H50">
        <f>149038.0278+1.183033881*C50+33.94798174*D50+2804.165526*E50-16716.89105*F50</f>
        <v>596229.3953913647</v>
      </c>
      <c r="I50">
        <f>B50-H50</f>
        <v>-42217.32539136475</v>
      </c>
    </row>
    <row r="51" spans="1:9">
      <c r="A51" s="1" t="s">
        <v>35</v>
      </c>
      <c r="B51" s="1">
        <v>487464.91</v>
      </c>
      <c r="C51" s="1">
        <v>27808.6</v>
      </c>
      <c r="D51" s="1">
        <v>2863</v>
      </c>
      <c r="E51" s="1">
        <v>89.3</v>
      </c>
      <c r="F51">
        <f>IF(G51="East",1,0)</f>
        <v>0</v>
      </c>
      <c r="G51" s="1" t="s">
        <v>27</v>
      </c>
      <c r="H51">
        <f>149038.0278+1.183033881*C51+33.94798174*D51+2804.165526*E51-16716.89105*F51</f>
        <v>529541.59697659663</v>
      </c>
      <c r="I51">
        <f>B51-H51</f>
        <v>-42076.686976596655</v>
      </c>
    </row>
    <row r="52" spans="1:9">
      <c r="A52" s="1" t="s">
        <v>58</v>
      </c>
      <c r="B52" s="1">
        <v>537058.32999999996</v>
      </c>
      <c r="C52" s="1">
        <v>50909.27</v>
      </c>
      <c r="D52" s="1">
        <v>3152</v>
      </c>
      <c r="E52" s="1">
        <v>93.7</v>
      </c>
      <c r="F52">
        <f>IF(G52="East",1,0)</f>
        <v>0</v>
      </c>
      <c r="G52" s="1" t="s">
        <v>20</v>
      </c>
      <c r="H52">
        <f>149038.0278+1.183033881*C52+33.94798174*D52+2804.165526*E52-16716.89105*F52</f>
        <v>579019.76729765697</v>
      </c>
      <c r="I52">
        <f>B52-H52</f>
        <v>-41961.437297657016</v>
      </c>
    </row>
    <row r="53" spans="1:9">
      <c r="A53" s="1" t="s">
        <v>71</v>
      </c>
      <c r="B53" s="1">
        <v>574066.61</v>
      </c>
      <c r="C53" s="1">
        <v>54002.83</v>
      </c>
      <c r="D53" s="1">
        <v>4366</v>
      </c>
      <c r="E53" s="1">
        <v>90.6</v>
      </c>
      <c r="F53">
        <f>IF(G53="East",1,0)</f>
        <v>0</v>
      </c>
      <c r="G53" s="1" t="s">
        <v>20</v>
      </c>
      <c r="H53">
        <f>149038.0278+1.183033881*C53+33.94798174*D53+2804.165526*E53-16716.89105*F53</f>
        <v>615199.49029232329</v>
      </c>
      <c r="I53">
        <f>B53-H53</f>
        <v>-41132.880292323302</v>
      </c>
    </row>
    <row r="54" spans="1:9">
      <c r="A54" s="1" t="s">
        <v>31</v>
      </c>
      <c r="B54" s="1">
        <v>718330.53</v>
      </c>
      <c r="C54" s="1">
        <v>61245.41</v>
      </c>
      <c r="D54" s="1">
        <v>8156</v>
      </c>
      <c r="E54" s="1">
        <v>92.9</v>
      </c>
      <c r="F54">
        <f>IF(G54="East",1,0)</f>
        <v>0</v>
      </c>
      <c r="G54" s="1" t="s">
        <v>20</v>
      </c>
      <c r="H54">
        <f>149038.0278+1.183033881*C54+33.94798174*D54+2804.165526*E54-16716.89105*F54</f>
        <v>758880.13932257623</v>
      </c>
      <c r="I54">
        <f>B54-H54</f>
        <v>-40549.609322576202</v>
      </c>
    </row>
    <row r="55" spans="1:9">
      <c r="A55" s="1" t="s">
        <v>40</v>
      </c>
      <c r="B55" s="1">
        <v>680840.36</v>
      </c>
      <c r="C55" s="1">
        <v>58749.63</v>
      </c>
      <c r="D55" s="1">
        <v>8252</v>
      </c>
      <c r="E55" s="1">
        <v>85.2</v>
      </c>
      <c r="F55">
        <f>IF(G55="East",1,0)</f>
        <v>1</v>
      </c>
      <c r="G55" s="1" t="s">
        <v>15</v>
      </c>
      <c r="H55">
        <f>149038.0278+1.183033881*C55+33.94798174*D55+2804.165526*E55-16716.89105*F55</f>
        <v>720877.5876698941</v>
      </c>
      <c r="I55">
        <f>B55-H55</f>
        <v>-40037.227669894113</v>
      </c>
    </row>
    <row r="56" spans="1:9">
      <c r="A56" s="1" t="s">
        <v>52</v>
      </c>
      <c r="B56" s="1">
        <v>557487.26</v>
      </c>
      <c r="C56" s="1">
        <v>48396.13</v>
      </c>
      <c r="D56" s="1">
        <v>4423</v>
      </c>
      <c r="E56" s="1">
        <v>85.7</v>
      </c>
      <c r="F56">
        <f>IF(G56="East",1,0)</f>
        <v>0</v>
      </c>
      <c r="G56" s="1" t="s">
        <v>20</v>
      </c>
      <c r="H56">
        <f>149038.0278+1.183033881*C56+33.94798174*D56+2804.165526*E56-16716.89105*F56</f>
        <v>596761.19811350061</v>
      </c>
      <c r="I56">
        <f>B56-H56</f>
        <v>-39273.938113500597</v>
      </c>
    </row>
    <row r="57" spans="1:9">
      <c r="A57" s="1" t="s">
        <v>36</v>
      </c>
      <c r="B57" s="1">
        <v>553756.43000000005</v>
      </c>
      <c r="C57" s="1">
        <v>52952.12</v>
      </c>
      <c r="D57" s="1">
        <v>4377</v>
      </c>
      <c r="E57" s="1">
        <v>88.6</v>
      </c>
      <c r="F57">
        <f>IF(G57="East",1,0)</f>
        <v>1</v>
      </c>
      <c r="G57" s="1" t="s">
        <v>15</v>
      </c>
      <c r="H57">
        <f>149038.0278+1.183033881*C57+33.94798174*D57+2804.165526*E57-16716.89105*F57</f>
        <v>592004.6704603578</v>
      </c>
      <c r="I57">
        <f>B57-H57</f>
        <v>-38248.240460357745</v>
      </c>
    </row>
    <row r="58" spans="1:9">
      <c r="A58" s="1" t="s">
        <v>95</v>
      </c>
      <c r="B58" s="1">
        <v>546223.69999999995</v>
      </c>
      <c r="C58" s="1">
        <v>51996.32</v>
      </c>
      <c r="D58" s="1">
        <v>3834</v>
      </c>
      <c r="E58" s="1">
        <v>86.7</v>
      </c>
      <c r="F58">
        <f>IF(G58="East",1,0)</f>
        <v>0</v>
      </c>
      <c r="G58" s="1" t="s">
        <v>27</v>
      </c>
      <c r="H58">
        <f>149038.0278+1.183033881*C58+33.94798174*D58+2804.165526*E58-16716.89105*F58</f>
        <v>583829.14914267801</v>
      </c>
      <c r="I58">
        <f>B58-H58</f>
        <v>-37605.449142678059</v>
      </c>
    </row>
    <row r="59" spans="1:9">
      <c r="A59" s="1" t="s">
        <v>101</v>
      </c>
      <c r="B59" s="1">
        <v>559660.84</v>
      </c>
      <c r="C59" s="1">
        <v>40553.11</v>
      </c>
      <c r="D59" s="1">
        <v>5317</v>
      </c>
      <c r="E59" s="1">
        <v>84.3</v>
      </c>
      <c r="F59">
        <f>IF(G59="East",1,0)</f>
        <v>1</v>
      </c>
      <c r="G59" s="1" t="s">
        <v>15</v>
      </c>
      <c r="H59">
        <f>149038.0278+1.183033881*C59+33.94798174*D59+2804.165526*E59-16716.89105*F59</f>
        <v>597189.41261329991</v>
      </c>
      <c r="I59">
        <f>B59-H59</f>
        <v>-37528.572613299941</v>
      </c>
    </row>
    <row r="60" spans="1:9">
      <c r="A60" s="1" t="s">
        <v>61</v>
      </c>
      <c r="B60" s="1">
        <v>602002.31999999995</v>
      </c>
      <c r="C60" s="1">
        <v>41863.08</v>
      </c>
      <c r="D60" s="1">
        <v>5400</v>
      </c>
      <c r="E60" s="1">
        <v>91.6</v>
      </c>
      <c r="F60">
        <f>IF(G60="East",1,0)</f>
        <v>0</v>
      </c>
      <c r="G60" s="1" t="s">
        <v>20</v>
      </c>
      <c r="H60">
        <f>149038.0278+1.183033881*C60+33.94798174*D60+2804.165526*E60-16716.89105*F60</f>
        <v>638744.13338061352</v>
      </c>
      <c r="I60">
        <f>B60-H60</f>
        <v>-36741.813380613574</v>
      </c>
    </row>
    <row r="61" spans="1:9">
      <c r="A61" s="1" t="s">
        <v>36</v>
      </c>
      <c r="B61" s="1">
        <v>617291.15</v>
      </c>
      <c r="C61" s="1">
        <v>118910.48</v>
      </c>
      <c r="D61" s="1">
        <v>4022</v>
      </c>
      <c r="E61" s="1">
        <v>87.1</v>
      </c>
      <c r="F61">
        <f>IF(G61="East",1,0)</f>
        <v>1</v>
      </c>
      <c r="G61" s="1" t="s">
        <v>15</v>
      </c>
      <c r="H61">
        <f>149038.0278+1.183033881*C61+33.94798174*D61+2804.165526*E61-16716.89105*F61</f>
        <v>653777.86326885293</v>
      </c>
      <c r="I61">
        <f>B61-H61</f>
        <v>-36486.713268852909</v>
      </c>
    </row>
    <row r="62" spans="1:9">
      <c r="A62" s="1" t="s">
        <v>23</v>
      </c>
      <c r="B62" s="1">
        <v>573155.18999999994</v>
      </c>
      <c r="C62" s="1">
        <v>59117.9</v>
      </c>
      <c r="D62" s="1">
        <v>4263</v>
      </c>
      <c r="E62" s="1">
        <v>87.6</v>
      </c>
      <c r="F62">
        <f>IF(G62="East",1,0)</f>
        <v>0</v>
      </c>
      <c r="G62" s="1" t="s">
        <v>24</v>
      </c>
      <c r="H62">
        <f>149038.0278+1.183033881*C62+33.94798174*D62+2804.165526*E62-16716.89105*F62</f>
        <v>609341.65270878992</v>
      </c>
      <c r="I62">
        <f>B62-H62</f>
        <v>-36186.462708789972</v>
      </c>
    </row>
    <row r="63" spans="1:9">
      <c r="A63" s="1" t="s">
        <v>60</v>
      </c>
      <c r="B63" s="1">
        <v>685830.24</v>
      </c>
      <c r="C63" s="1">
        <v>61433.84</v>
      </c>
      <c r="D63" s="1">
        <v>7745</v>
      </c>
      <c r="E63" s="1">
        <v>90.5</v>
      </c>
      <c r="F63">
        <f>IF(G63="East",1,0)</f>
        <v>1</v>
      </c>
      <c r="G63" s="1" t="s">
        <v>15</v>
      </c>
      <c r="H63">
        <f>149038.0278+1.183033881*C63+33.94798174*D63+2804.165526*E63-16716.89105*F63</f>
        <v>721703.54958923312</v>
      </c>
      <c r="I63">
        <f>B63-H63</f>
        <v>-35873.309589233133</v>
      </c>
    </row>
    <row r="64" spans="1:9">
      <c r="A64" s="1" t="s">
        <v>41</v>
      </c>
      <c r="B64" s="1">
        <v>636561.34</v>
      </c>
      <c r="C64" s="1">
        <v>77999.899999999994</v>
      </c>
      <c r="D64" s="1">
        <v>5974</v>
      </c>
      <c r="E64" s="1">
        <v>81.3</v>
      </c>
      <c r="F64">
        <f>IF(G64="East",1,0)</f>
        <v>0</v>
      </c>
      <c r="G64" s="1" t="s">
        <v>24</v>
      </c>
      <c r="H64">
        <f>149038.0278+1.183033881*C64+33.94798174*D64+2804.165526*E64-16716.89105*F64</f>
        <v>672098.45239317196</v>
      </c>
      <c r="I64">
        <f>B64-H64</f>
        <v>-35537.112393171992</v>
      </c>
    </row>
    <row r="65" spans="1:9">
      <c r="A65" s="1" t="s">
        <v>43</v>
      </c>
      <c r="B65" s="1">
        <v>611766.72</v>
      </c>
      <c r="C65" s="1">
        <v>88443.77</v>
      </c>
      <c r="D65" s="1">
        <v>4004</v>
      </c>
      <c r="E65" s="1">
        <v>91.9</v>
      </c>
      <c r="F65">
        <f>IF(G65="East",1,0)</f>
        <v>0</v>
      </c>
      <c r="G65" s="1" t="s">
        <v>27</v>
      </c>
      <c r="H65">
        <f>149038.0278+1.183033881*C65+33.94798174*D65+2804.165526*E65-16716.89105*F65</f>
        <v>647300.53499973146</v>
      </c>
      <c r="I65">
        <f>B65-H65</f>
        <v>-35533.81499973149</v>
      </c>
    </row>
    <row r="66" spans="1:9">
      <c r="A66" s="1" t="s">
        <v>50</v>
      </c>
      <c r="B66" s="1">
        <v>718074.79</v>
      </c>
      <c r="C66" s="1">
        <v>25990.54</v>
      </c>
      <c r="D66" s="1">
        <v>9249</v>
      </c>
      <c r="E66" s="1">
        <v>92.5</v>
      </c>
      <c r="F66">
        <f>IF(G66="East",1,0)</f>
        <v>0</v>
      </c>
      <c r="G66" s="1" t="s">
        <v>27</v>
      </c>
      <c r="H66">
        <f>149038.0278+1.183033881*C66+33.94798174*D66+2804.165526*E66-16716.89105*F66</f>
        <v>753155.91147374583</v>
      </c>
      <c r="I66">
        <f>B66-H66</f>
        <v>-35081.121473745792</v>
      </c>
    </row>
    <row r="67" spans="1:9">
      <c r="A67" s="1" t="s">
        <v>65</v>
      </c>
      <c r="B67" s="1">
        <v>721364.11</v>
      </c>
      <c r="C67" s="1">
        <v>43645.98</v>
      </c>
      <c r="D67" s="1">
        <v>9480</v>
      </c>
      <c r="E67" s="1">
        <v>89</v>
      </c>
      <c r="F67">
        <f>IF(G67="East",1,0)</f>
        <v>1</v>
      </c>
      <c r="G67" s="1" t="s">
        <v>15</v>
      </c>
      <c r="H67">
        <f>149038.0278+1.183033881*C67+33.94798174*D67+2804.165526*E67-16716.89105*F67</f>
        <v>755353.40856864851</v>
      </c>
      <c r="I67">
        <f>B67-H67</f>
        <v>-33989.298568648519</v>
      </c>
    </row>
    <row r="68" spans="1:9">
      <c r="A68" s="1" t="s">
        <v>79</v>
      </c>
      <c r="B68" s="1">
        <v>596969.27</v>
      </c>
      <c r="C68" s="1">
        <v>33173.949999999997</v>
      </c>
      <c r="D68" s="1">
        <v>6545</v>
      </c>
      <c r="E68" s="1">
        <v>84.4</v>
      </c>
      <c r="F68">
        <f>IF(G68="East",1,0)</f>
        <v>1</v>
      </c>
      <c r="G68" s="1" t="s">
        <v>15</v>
      </c>
      <c r="H68">
        <f>149038.0278+1.183033881*C68+33.94798174*D68+2804.165526*E68-16716.89105*F68</f>
        <v>630428.15444930003</v>
      </c>
      <c r="I68">
        <f>B68-H68</f>
        <v>-33458.884449300007</v>
      </c>
    </row>
    <row r="69" spans="1:9">
      <c r="A69" s="1" t="s">
        <v>94</v>
      </c>
      <c r="B69" s="1">
        <v>696261.49</v>
      </c>
      <c r="C69" s="1">
        <v>68909.259999999995</v>
      </c>
      <c r="D69" s="1">
        <v>7794</v>
      </c>
      <c r="E69" s="1">
        <v>89</v>
      </c>
      <c r="F69">
        <f>IF(G69="East",1,0)</f>
        <v>1</v>
      </c>
      <c r="G69" s="1" t="s">
        <v>15</v>
      </c>
      <c r="H69">
        <f>149038.0278+1.183033881*C69+33.94798174*D69+2804.165526*E69-16716.89105*F69</f>
        <v>728004.4275401982</v>
      </c>
      <c r="I69">
        <f>B69-H69</f>
        <v>-31742.937540198211</v>
      </c>
    </row>
    <row r="70" spans="1:9">
      <c r="A70" s="1" t="s">
        <v>77</v>
      </c>
      <c r="B70" s="1">
        <v>723531.4</v>
      </c>
      <c r="C70" s="1">
        <v>73540.990000000005</v>
      </c>
      <c r="D70" s="1">
        <v>8773</v>
      </c>
      <c r="E70" s="1">
        <v>84.4</v>
      </c>
      <c r="F70">
        <f>IF(G70="East",1,0)</f>
        <v>1</v>
      </c>
      <c r="G70" s="1" t="s">
        <v>15</v>
      </c>
      <c r="H70">
        <f>149038.0278+1.183033881*C70+33.94798174*D70+2804.165526*E70-16716.89105*F70</f>
        <v>753819.83376170229</v>
      </c>
      <c r="I70">
        <f>B70-H70</f>
        <v>-30288.433761702268</v>
      </c>
    </row>
    <row r="71" spans="1:9">
      <c r="A71" s="1" t="s">
        <v>92</v>
      </c>
      <c r="B71" s="1">
        <v>555557.77</v>
      </c>
      <c r="C71" s="1">
        <v>34771.26</v>
      </c>
      <c r="D71" s="1">
        <v>4355</v>
      </c>
      <c r="E71" s="1">
        <v>87.9</v>
      </c>
      <c r="F71">
        <f>IF(G71="East",1,0)</f>
        <v>0</v>
      </c>
      <c r="G71" s="1" t="s">
        <v>24</v>
      </c>
      <c r="H71">
        <f>149038.0278+1.183033881*C71+33.94798174*D71+2804.165526*E71-16716.89105*F71</f>
        <v>584503.21667816024</v>
      </c>
      <c r="I71">
        <f>B71-H71</f>
        <v>-28945.446678160224</v>
      </c>
    </row>
    <row r="72" spans="1:9">
      <c r="A72" s="1" t="s">
        <v>83</v>
      </c>
      <c r="B72" s="1">
        <v>679230.86</v>
      </c>
      <c r="C72" s="1">
        <v>57390.04</v>
      </c>
      <c r="D72" s="1">
        <v>7374</v>
      </c>
      <c r="E72" s="1">
        <v>91.8</v>
      </c>
      <c r="F72">
        <f>IF(G72="East",1,0)</f>
        <v>1</v>
      </c>
      <c r="G72" s="1" t="s">
        <v>15</v>
      </c>
      <c r="H72">
        <f>149038.0278+1.183033881*C72+33.94798174*D72+2804.165526*E72-16716.89105*F72</f>
        <v>707970.31113950536</v>
      </c>
      <c r="I72">
        <f>B72-H72</f>
        <v>-28739.451139505371</v>
      </c>
    </row>
    <row r="73" spans="1:9">
      <c r="A73" s="1" t="s">
        <v>64</v>
      </c>
      <c r="B73" s="1">
        <v>739831.73</v>
      </c>
      <c r="C73" s="1">
        <v>62059.18</v>
      </c>
      <c r="D73" s="1">
        <v>9374</v>
      </c>
      <c r="E73" s="1">
        <v>87.1</v>
      </c>
      <c r="F73">
        <f>IF(G73="East",1,0)</f>
        <v>1</v>
      </c>
      <c r="G73" s="1" t="s">
        <v>15</v>
      </c>
      <c r="H73">
        <f>149038.0278+1.183033881*C73+33.94798174*D73+2804.165526*E73-16716.89105*F73</f>
        <v>768210.44746243767</v>
      </c>
      <c r="I73">
        <f>B73-H73</f>
        <v>-28378.717462437693</v>
      </c>
    </row>
    <row r="74" spans="1:9">
      <c r="A74" s="1" t="s">
        <v>96</v>
      </c>
      <c r="B74" s="1">
        <v>599017.32999999996</v>
      </c>
      <c r="C74" s="1">
        <v>46174.7</v>
      </c>
      <c r="D74" s="1">
        <v>4898</v>
      </c>
      <c r="E74" s="1">
        <v>91.7</v>
      </c>
      <c r="F74">
        <f>IF(G74="East",1,0)</f>
        <v>0</v>
      </c>
      <c r="G74" s="1" t="s">
        <v>27</v>
      </c>
      <c r="H74">
        <f>149038.0278+1.183033881*C74+33.94798174*D74+2804.165526*E74-16716.89105*F74</f>
        <v>627083.45564173069</v>
      </c>
      <c r="I74">
        <f>B74-H74</f>
        <v>-28066.12564173073</v>
      </c>
    </row>
    <row r="75" spans="1:9">
      <c r="A75" s="1" t="s">
        <v>23</v>
      </c>
      <c r="B75" s="1">
        <v>666573.19999999995</v>
      </c>
      <c r="C75" s="1">
        <v>78831.12</v>
      </c>
      <c r="D75" s="1">
        <v>5538</v>
      </c>
      <c r="E75" s="1">
        <v>94.1</v>
      </c>
      <c r="F75">
        <f>IF(G75="East",1,0)</f>
        <v>0</v>
      </c>
      <c r="G75" s="1" t="s">
        <v>24</v>
      </c>
      <c r="H75">
        <f>149038.0278+1.183033881*C75+33.94798174*D75+2804.165526*E75-16716.89105*F75</f>
        <v>694173.8125098967</v>
      </c>
      <c r="I75">
        <f>B75-H75</f>
        <v>-27600.612509896746</v>
      </c>
    </row>
    <row r="76" spans="1:9">
      <c r="A76" s="1" t="s">
        <v>72</v>
      </c>
      <c r="B76" s="1">
        <v>607084.92000000004</v>
      </c>
      <c r="C76" s="1">
        <v>35203.230000000003</v>
      </c>
      <c r="D76" s="1">
        <v>6896</v>
      </c>
      <c r="E76" s="1">
        <v>80.8</v>
      </c>
      <c r="F76">
        <f>IF(G76="East",1,0)</f>
        <v>1</v>
      </c>
      <c r="G76" s="1" t="s">
        <v>15</v>
      </c>
      <c r="H76">
        <f>149038.0278+1.183033881*C76+33.94798174*D76+2804.165526*E76-16716.89105*F76</f>
        <v>634649.60714047565</v>
      </c>
      <c r="I76">
        <f>B76-H76</f>
        <v>-27564.687140475609</v>
      </c>
    </row>
    <row r="77" spans="1:9">
      <c r="A77" s="1" t="s">
        <v>34</v>
      </c>
      <c r="B77" s="1">
        <v>622811.74</v>
      </c>
      <c r="C77" s="1">
        <v>46624.05</v>
      </c>
      <c r="D77" s="1">
        <v>5104</v>
      </c>
      <c r="E77" s="1">
        <v>97.3</v>
      </c>
      <c r="F77">
        <f>IF(G77="East",1,0)</f>
        <v>0</v>
      </c>
      <c r="G77" s="1" t="s">
        <v>20</v>
      </c>
      <c r="H77">
        <f>149038.0278+1.183033881*C77+33.94798174*D77+2804.165526*E77-16716.89105*F77</f>
        <v>650311.66310019814</v>
      </c>
      <c r="I77">
        <f>B77-H77</f>
        <v>-27499.923100198153</v>
      </c>
    </row>
    <row r="78" spans="1:9">
      <c r="A78" s="1" t="s">
        <v>23</v>
      </c>
      <c r="B78" s="1">
        <v>666152.52</v>
      </c>
      <c r="C78" s="1">
        <v>48804.22</v>
      </c>
      <c r="D78" s="1">
        <v>7057</v>
      </c>
      <c r="E78" s="1">
        <v>87.7</v>
      </c>
      <c r="F78">
        <f>IF(G78="East",1,0)</f>
        <v>0</v>
      </c>
      <c r="G78" s="1" t="s">
        <v>24</v>
      </c>
      <c r="H78">
        <f>149038.0278+1.183033881*C78+33.94798174*D78+2804.165526*E78-16716.89105*F78</f>
        <v>692271.29736515786</v>
      </c>
      <c r="I78">
        <f>B78-H78</f>
        <v>-26118.777365157846</v>
      </c>
    </row>
    <row r="79" spans="1:9">
      <c r="A79" s="1" t="s">
        <v>38</v>
      </c>
      <c r="B79" s="1">
        <v>784502.68</v>
      </c>
      <c r="C79" s="1">
        <v>70040.31</v>
      </c>
      <c r="D79" s="1">
        <v>9175</v>
      </c>
      <c r="E79" s="1">
        <v>95.1</v>
      </c>
      <c r="F79">
        <f>IF(G79="East",1,0)</f>
        <v>0</v>
      </c>
      <c r="G79" s="1" t="s">
        <v>27</v>
      </c>
      <c r="H79">
        <f>149038.0278+1.183033881*C79+33.94798174*D79+2804.165526*E79-16716.89105*F79</f>
        <v>810046.96155284322</v>
      </c>
      <c r="I79">
        <f>B79-H79</f>
        <v>-25544.281552843167</v>
      </c>
    </row>
    <row r="80" spans="1:9">
      <c r="A80" s="1" t="s">
        <v>19</v>
      </c>
      <c r="B80" s="1">
        <v>723060.76</v>
      </c>
      <c r="C80" s="1">
        <v>34285.21</v>
      </c>
      <c r="D80" s="1">
        <v>9172</v>
      </c>
      <c r="E80" s="1">
        <v>88.3</v>
      </c>
      <c r="F80">
        <f>IF(G80="East",1,0)</f>
        <v>0</v>
      </c>
      <c r="G80" s="1" t="s">
        <v>20</v>
      </c>
      <c r="H80">
        <f>149038.0278+1.183033881*C80+33.94798174*D80+2804.165526*E80-16716.89105*F80</f>
        <v>748577.29731228005</v>
      </c>
      <c r="I80">
        <f>B80-H80</f>
        <v>-25516.537312280037</v>
      </c>
    </row>
    <row r="81" spans="1:9">
      <c r="A81" s="1" t="s">
        <v>63</v>
      </c>
      <c r="B81" s="1">
        <v>706285.52</v>
      </c>
      <c r="C81" s="1">
        <v>35303.300000000003</v>
      </c>
      <c r="D81" s="1">
        <v>8789</v>
      </c>
      <c r="E81" s="1">
        <v>86.1</v>
      </c>
      <c r="F81">
        <f>IF(G81="East",1,0)</f>
        <v>0</v>
      </c>
      <c r="G81" s="1" t="s">
        <v>20</v>
      </c>
      <c r="H81">
        <f>149038.0278+1.183033881*C81+33.94798174*D81+2804.165526*E81-16716.89105*F81</f>
        <v>730610.49111256737</v>
      </c>
      <c r="I81">
        <f>B81-H81</f>
        <v>-24324.971112567349</v>
      </c>
    </row>
    <row r="82" spans="1:9">
      <c r="A82" s="1" t="s">
        <v>91</v>
      </c>
      <c r="B82" s="1">
        <v>761122.42</v>
      </c>
      <c r="C82" s="1">
        <v>70284.06</v>
      </c>
      <c r="D82" s="1">
        <v>9109</v>
      </c>
      <c r="E82" s="1">
        <v>87</v>
      </c>
      <c r="F82">
        <f>IF(G82="East",1,0)</f>
        <v>0</v>
      </c>
      <c r="G82" s="1" t="s">
        <v>24</v>
      </c>
      <c r="H82">
        <f>149038.0278+1.183033881*C82+33.94798174*D82+2804.165526*E82-16716.89105*F82</f>
        <v>785381.01850589691</v>
      </c>
      <c r="I82">
        <f>B82-H82</f>
        <v>-24258.598505896865</v>
      </c>
    </row>
    <row r="83" spans="1:9">
      <c r="A83" s="1" t="s">
        <v>59</v>
      </c>
      <c r="B83" s="1">
        <v>614024.91</v>
      </c>
      <c r="C83" s="1">
        <v>51575.68</v>
      </c>
      <c r="D83" s="1">
        <v>5329</v>
      </c>
      <c r="E83" s="1">
        <v>88.1</v>
      </c>
      <c r="F83">
        <f>IF(G83="East",1,0)</f>
        <v>0</v>
      </c>
      <c r="G83" s="1" t="s">
        <v>24</v>
      </c>
      <c r="H83">
        <f>149038.0278+1.183033881*C83+33.94798174*D83+2804.165526*E83-16716.89105*F83</f>
        <v>638009.58220867417</v>
      </c>
      <c r="I83">
        <f>B83-H83</f>
        <v>-23984.672208674136</v>
      </c>
    </row>
    <row r="84" spans="1:9">
      <c r="A84" s="1" t="s">
        <v>85</v>
      </c>
      <c r="B84" s="1">
        <v>612390.14</v>
      </c>
      <c r="C84" s="1">
        <v>36290.080000000002</v>
      </c>
      <c r="D84" s="1">
        <v>5787</v>
      </c>
      <c r="E84" s="1">
        <v>88.3</v>
      </c>
      <c r="F84">
        <f>IF(G84="East",1,0)</f>
        <v>0</v>
      </c>
      <c r="G84" s="1" t="s">
        <v>24</v>
      </c>
      <c r="H84">
        <f>149038.0278+1.183033881*C84+33.94798174*D84+2804.165526*E84-16716.89105*F84</f>
        <v>636035.20825938054</v>
      </c>
      <c r="I84">
        <f>B84-H84</f>
        <v>-23645.068259380525</v>
      </c>
    </row>
    <row r="85" spans="1:9">
      <c r="A85" s="1" t="s">
        <v>38</v>
      </c>
      <c r="B85" s="1">
        <v>717141.55</v>
      </c>
      <c r="C85" s="1">
        <v>51148.69</v>
      </c>
      <c r="D85" s="1">
        <v>7940</v>
      </c>
      <c r="E85" s="1">
        <v>93.3</v>
      </c>
      <c r="F85">
        <f>IF(G85="East",1,0)</f>
        <v>0</v>
      </c>
      <c r="G85" s="1" t="s">
        <v>27</v>
      </c>
      <c r="H85">
        <f>149038.0278+1.183033881*C85+33.94798174*D85+2804.165526*E85-16716.89105*F85</f>
        <v>740724.27963016601</v>
      </c>
      <c r="I85">
        <f>B85-H85</f>
        <v>-23582.729630165966</v>
      </c>
    </row>
    <row r="86" spans="1:9">
      <c r="A86" s="1" t="s">
        <v>65</v>
      </c>
      <c r="B86" s="1">
        <v>758138.29</v>
      </c>
      <c r="C86" s="1">
        <v>68040.149999999994</v>
      </c>
      <c r="D86" s="1">
        <v>9826</v>
      </c>
      <c r="E86" s="1">
        <v>83.9</v>
      </c>
      <c r="F86">
        <f>IF(G86="East",1,0)</f>
        <v>1</v>
      </c>
      <c r="G86" s="1" t="s">
        <v>15</v>
      </c>
      <c r="H86">
        <f>149038.0278+1.183033881*C86+33.94798174*D86+2804.165526*E86-16716.89105*F86</f>
        <v>781657.29567696224</v>
      </c>
      <c r="I86">
        <f>B86-H86</f>
        <v>-23519.005676962202</v>
      </c>
    </row>
    <row r="87" spans="1:9">
      <c r="A87" s="1" t="s">
        <v>39</v>
      </c>
      <c r="B87" s="1">
        <v>479050.5</v>
      </c>
      <c r="C87" s="1">
        <v>36813.449999999997</v>
      </c>
      <c r="D87" s="1">
        <v>2834</v>
      </c>
      <c r="E87" s="1">
        <v>81.8</v>
      </c>
      <c r="F87">
        <f>IF(G87="East",1,0)</f>
        <v>1</v>
      </c>
      <c r="G87" s="1" t="s">
        <v>15</v>
      </c>
      <c r="H87">
        <f>149038.0278+1.183033881*C87+33.94798174*D87+2804.165526*E87-16716.89105*F87</f>
        <v>501462.01565445954</v>
      </c>
      <c r="I87">
        <f>B87-H87</f>
        <v>-22411.515654459537</v>
      </c>
    </row>
    <row r="88" spans="1:9">
      <c r="A88" s="1" t="s">
        <v>47</v>
      </c>
      <c r="B88" s="1">
        <v>586626.93999999994</v>
      </c>
      <c r="C88" s="1">
        <v>63101.59</v>
      </c>
      <c r="D88" s="1">
        <v>4373</v>
      </c>
      <c r="E88" s="1">
        <v>90.4</v>
      </c>
      <c r="F88">
        <f>IF(G88="East",1,0)</f>
        <v>1</v>
      </c>
      <c r="G88" s="1" t="s">
        <v>15</v>
      </c>
      <c r="H88">
        <f>149038.0278+1.183033881*C88+33.94798174*D88+2804.165526*E88-16716.89105*F88</f>
        <v>608923.54336439085</v>
      </c>
      <c r="I88">
        <f>B88-H88</f>
        <v>-22296.603364390903</v>
      </c>
    </row>
    <row r="89" spans="1:9">
      <c r="A89" s="1" t="s">
        <v>45</v>
      </c>
      <c r="B89" s="1">
        <v>607898.12</v>
      </c>
      <c r="C89" s="1">
        <v>9534.65</v>
      </c>
      <c r="D89" s="1">
        <v>6057</v>
      </c>
      <c r="E89" s="1">
        <v>94.1</v>
      </c>
      <c r="F89">
        <f>IF(G89="East",1,0)</f>
        <v>0</v>
      </c>
      <c r="G89" s="1" t="s">
        <v>27</v>
      </c>
      <c r="H89">
        <f>149038.0278+1.183033881*C89+33.94798174*D89+2804.165526*E89-16716.89105*F89</f>
        <v>629812.74318925664</v>
      </c>
      <c r="I89">
        <f>B89-H89</f>
        <v>-21914.623189256643</v>
      </c>
    </row>
    <row r="90" spans="1:9">
      <c r="A90" s="1" t="s">
        <v>55</v>
      </c>
      <c r="B90" s="1">
        <v>529075.94999999995</v>
      </c>
      <c r="C90" s="1">
        <v>70366.759999999995</v>
      </c>
      <c r="D90" s="1">
        <v>1963</v>
      </c>
      <c r="E90" s="1">
        <v>89.8</v>
      </c>
      <c r="F90">
        <f>IF(G90="East",1,0)</f>
        <v>0</v>
      </c>
      <c r="G90" s="1" t="s">
        <v>20</v>
      </c>
      <c r="H90">
        <f>149038.0278+1.183033881*C90+33.94798174*D90+2804.165526*E90-16716.89105*F90</f>
        <v>550738.24136661564</v>
      </c>
      <c r="I90">
        <f>B90-H90</f>
        <v>-21662.291366615682</v>
      </c>
    </row>
    <row r="91" spans="1:9">
      <c r="A91" s="1" t="s">
        <v>68</v>
      </c>
      <c r="B91" s="1">
        <v>681855.56</v>
      </c>
      <c r="C91" s="1">
        <v>71941.62</v>
      </c>
      <c r="D91" s="1">
        <v>6084</v>
      </c>
      <c r="E91" s="1">
        <v>93.7</v>
      </c>
      <c r="F91">
        <f>IF(G91="East",1,0)</f>
        <v>0</v>
      </c>
      <c r="G91" s="1" t="s">
        <v>20</v>
      </c>
      <c r="H91">
        <f>149038.0278+1.183033881*C91+33.94798174*D91+2804.165526*E91-16716.89105*F91</f>
        <v>703437.23240638734</v>
      </c>
      <c r="I91">
        <f>B91-H91</f>
        <v>-21581.672406387283</v>
      </c>
    </row>
    <row r="92" spans="1:9">
      <c r="A92" s="1" t="s">
        <v>97</v>
      </c>
      <c r="B92" s="1">
        <v>703812.99</v>
      </c>
      <c r="C92" s="1">
        <v>40647.67</v>
      </c>
      <c r="D92" s="1">
        <v>8252</v>
      </c>
      <c r="E92" s="1">
        <v>88.2</v>
      </c>
      <c r="F92">
        <f>IF(G92="East",1,0)</f>
        <v>0</v>
      </c>
      <c r="G92" s="1" t="s">
        <v>20</v>
      </c>
      <c r="H92">
        <f>149038.0278+1.183033881*C92+33.94798174*D92+2804.165526*E92-16716.89105*F92</f>
        <v>724591.74330538732</v>
      </c>
      <c r="I92">
        <f>B92-H92</f>
        <v>-20778.753305387334</v>
      </c>
    </row>
    <row r="93" spans="1:9">
      <c r="A93" s="1" t="s">
        <v>70</v>
      </c>
      <c r="B93" s="1">
        <v>611924.27</v>
      </c>
      <c r="C93" s="1">
        <v>51133.43</v>
      </c>
      <c r="D93" s="1">
        <v>5150</v>
      </c>
      <c r="E93" s="1">
        <v>88.5</v>
      </c>
      <c r="F93">
        <f>IF(G93="East",1,0)</f>
        <v>0</v>
      </c>
      <c r="G93" s="1" t="s">
        <v>27</v>
      </c>
      <c r="H93">
        <f>149038.0278+1.183033881*C93+33.94798174*D93+2804.165526*E93-16716.89105*F93</f>
        <v>632531.36295374192</v>
      </c>
      <c r="I93">
        <f>B93-H93</f>
        <v>-20607.0929537419</v>
      </c>
    </row>
    <row r="94" spans="1:9">
      <c r="A94" s="1" t="s">
        <v>78</v>
      </c>
      <c r="B94" s="1">
        <v>527681.56000000006</v>
      </c>
      <c r="C94" s="1">
        <v>42932.02</v>
      </c>
      <c r="D94" s="1">
        <v>3872</v>
      </c>
      <c r="E94" s="1">
        <v>83.2</v>
      </c>
      <c r="F94">
        <f>IF(G94="East",1,0)</f>
        <v>1</v>
      </c>
      <c r="G94" s="1" t="s">
        <v>15</v>
      </c>
      <c r="H94">
        <f>149038.0278+1.183033881*C94+33.94798174*D94+2804.165526*E94-16716.89105*F94</f>
        <v>547864.32805024972</v>
      </c>
      <c r="I94">
        <f>B94-H94</f>
        <v>-20182.768050249666</v>
      </c>
    </row>
    <row r="95" spans="1:9">
      <c r="A95" s="1" t="s">
        <v>93</v>
      </c>
      <c r="B95" s="1">
        <v>548103.69999999995</v>
      </c>
      <c r="C95" s="1">
        <v>40928.69</v>
      </c>
      <c r="D95" s="1">
        <v>4094</v>
      </c>
      <c r="E95" s="1">
        <v>82.4</v>
      </c>
      <c r="F95">
        <f>IF(G95="East",1,0)</f>
        <v>0</v>
      </c>
      <c r="G95" s="1" t="s">
        <v>27</v>
      </c>
      <c r="H95">
        <f>149038.0278+1.183033881*C95+33.94798174*D95+2804.165526*E95-16716.89105*F95</f>
        <v>567504.3313609059</v>
      </c>
      <c r="I95">
        <f>B95-H95</f>
        <v>-19400.631360905943</v>
      </c>
    </row>
    <row r="96" spans="1:9">
      <c r="A96" s="1" t="s">
        <v>23</v>
      </c>
      <c r="B96" s="1">
        <v>591619.94999999995</v>
      </c>
      <c r="C96" s="1">
        <v>41441.93</v>
      </c>
      <c r="D96" s="1">
        <v>4865</v>
      </c>
      <c r="E96" s="1">
        <v>88.3</v>
      </c>
      <c r="F96">
        <f>IF(G96="East",1,0)</f>
        <v>0</v>
      </c>
      <c r="G96" s="1" t="s">
        <v>24</v>
      </c>
      <c r="H96">
        <f>149038.0278+1.183033881*C96+33.94798174*D96+2804.165526*E96-16716.89105*F96</f>
        <v>610829.98219493043</v>
      </c>
      <c r="I96">
        <f>B96-H96</f>
        <v>-19210.032194930478</v>
      </c>
    </row>
    <row r="97" spans="1:9">
      <c r="A97" s="1" t="s">
        <v>65</v>
      </c>
      <c r="B97" s="1">
        <v>804264</v>
      </c>
      <c r="C97" s="1">
        <v>63043.94</v>
      </c>
      <c r="D97" s="1">
        <v>10402</v>
      </c>
      <c r="E97" s="1">
        <v>93.9</v>
      </c>
      <c r="F97">
        <f>IF(G97="East",1,0)</f>
        <v>1</v>
      </c>
      <c r="G97" s="1" t="s">
        <v>15</v>
      </c>
      <c r="H97">
        <f>149038.0278+1.183033881*C97+33.94798174*D97+2804.165526*E97-16716.89105*F97</f>
        <v>823342.30271261127</v>
      </c>
      <c r="I97">
        <f>B97-H97</f>
        <v>-19078.302712611272</v>
      </c>
    </row>
    <row r="98" spans="1:9">
      <c r="A98" s="1" t="s">
        <v>99</v>
      </c>
      <c r="B98" s="1">
        <v>628538.30000000005</v>
      </c>
      <c r="C98" s="1">
        <v>48465.599999999999</v>
      </c>
      <c r="D98" s="1">
        <v>5759</v>
      </c>
      <c r="E98" s="1">
        <v>87.5</v>
      </c>
      <c r="F98">
        <f>IF(G98="East",1,0)</f>
        <v>0</v>
      </c>
      <c r="G98" s="1" t="s">
        <v>24</v>
      </c>
      <c r="H98">
        <f>149038.0278+1.183033881*C98+33.94798174*D98+2804.165526*E98-16716.89105*F98</f>
        <v>647245.38502865366</v>
      </c>
      <c r="I98">
        <f>B98-H98</f>
        <v>-18707.085028653615</v>
      </c>
    </row>
    <row r="99" spans="1:9">
      <c r="A99" s="1" t="s">
        <v>42</v>
      </c>
      <c r="B99" s="1">
        <v>621369.57999999996</v>
      </c>
      <c r="C99" s="1">
        <v>60881.01</v>
      </c>
      <c r="D99" s="1">
        <v>5410</v>
      </c>
      <c r="E99" s="1">
        <v>83.9</v>
      </c>
      <c r="F99">
        <f>IF(G99="East",1,0)</f>
        <v>0</v>
      </c>
      <c r="G99" s="1" t="s">
        <v>27</v>
      </c>
      <c r="H99">
        <f>149038.0278+1.183033881*C99+33.94798174*D99+2804.165526*E99-16716.89105*F99</f>
        <v>639990.39418429986</v>
      </c>
      <c r="I99">
        <f>B99-H99</f>
        <v>-18620.814184299903</v>
      </c>
    </row>
    <row r="100" spans="1:9">
      <c r="A100" s="1" t="s">
        <v>26</v>
      </c>
      <c r="B100" s="1">
        <v>811771.14</v>
      </c>
      <c r="C100" s="1">
        <v>57696.69</v>
      </c>
      <c r="D100" s="1">
        <v>10218</v>
      </c>
      <c r="E100" s="1">
        <v>94.8</v>
      </c>
      <c r="F100">
        <f>IF(G100="East",1,0)</f>
        <v>0</v>
      </c>
      <c r="G100" s="1" t="s">
        <v>27</v>
      </c>
      <c r="H100">
        <f>149038.0278+1.183033881*C100+33.94798174*D100+2804.165526*E100-16716.89105*F100</f>
        <v>830010.53617567394</v>
      </c>
      <c r="I100">
        <f>B100-H100</f>
        <v>-18239.39617567393</v>
      </c>
    </row>
    <row r="101" spans="1:9">
      <c r="A101" s="1" t="s">
        <v>58</v>
      </c>
      <c r="B101" s="1">
        <v>601568.87</v>
      </c>
      <c r="C101" s="1">
        <v>53351.7</v>
      </c>
      <c r="D101" s="1">
        <v>4259</v>
      </c>
      <c r="E101" s="1">
        <v>93.7</v>
      </c>
      <c r="F101">
        <f>IF(G101="East",1,0)</f>
        <v>0</v>
      </c>
      <c r="G101" s="1" t="s">
        <v>20</v>
      </c>
      <c r="H101">
        <f>149038.0278+1.183033881*C101+33.94798174*D101+2804.165526*E101-16716.89105*F101</f>
        <v>619489.66052580776</v>
      </c>
      <c r="I101">
        <f>B101-H101</f>
        <v>-17920.790525807766</v>
      </c>
    </row>
    <row r="102" spans="1:9">
      <c r="A102" s="1" t="s">
        <v>45</v>
      </c>
      <c r="B102" s="1">
        <v>585937.48</v>
      </c>
      <c r="C102" s="1">
        <v>38966.589999999997</v>
      </c>
      <c r="D102" s="1">
        <v>4509</v>
      </c>
      <c r="E102" s="1">
        <v>91.1</v>
      </c>
      <c r="F102">
        <f>IF(G102="East",1,0)</f>
        <v>0</v>
      </c>
      <c r="G102" s="1" t="s">
        <v>27</v>
      </c>
      <c r="H102">
        <f>149038.0278+1.183033881*C102+33.94798174*D102+2804.165526*E102-16716.89105*F102</f>
        <v>603667.75308129576</v>
      </c>
      <c r="I102">
        <f>B102-H102</f>
        <v>-17730.273081295774</v>
      </c>
    </row>
    <row r="103" spans="1:9">
      <c r="A103" s="1" t="s">
        <v>84</v>
      </c>
      <c r="B103" s="1">
        <v>642751.42000000004</v>
      </c>
      <c r="C103" s="1">
        <v>72932.55</v>
      </c>
      <c r="D103" s="1">
        <v>5765</v>
      </c>
      <c r="E103" s="1">
        <v>81.8</v>
      </c>
      <c r="F103">
        <f>IF(G103="East",1,0)</f>
        <v>0</v>
      </c>
      <c r="G103" s="1" t="s">
        <v>20</v>
      </c>
      <c r="H103">
        <f>149038.0278+1.183033881*C103+33.94798174*D103+2804.165526*E103-16716.89105*F103</f>
        <v>660410.56023562653</v>
      </c>
      <c r="I103">
        <f>B103-H103</f>
        <v>-17659.140235626488</v>
      </c>
    </row>
    <row r="104" spans="1:9">
      <c r="A104" s="1" t="s">
        <v>90</v>
      </c>
      <c r="B104" s="1">
        <v>635837.74</v>
      </c>
      <c r="C104" s="1">
        <v>47648.71</v>
      </c>
      <c r="D104" s="1">
        <v>5767</v>
      </c>
      <c r="E104" s="1">
        <v>89.8</v>
      </c>
      <c r="F104">
        <f>IF(G104="East",1,0)</f>
        <v>0</v>
      </c>
      <c r="G104" s="1" t="s">
        <v>27</v>
      </c>
      <c r="H104">
        <f>149038.0278+1.183033881*C104+33.94798174*D104+2804.165526*E104-16716.89105*F104</f>
        <v>653000.14104532357</v>
      </c>
      <c r="I104">
        <f>B104-H104</f>
        <v>-17162.401045323582</v>
      </c>
    </row>
    <row r="105" spans="1:9">
      <c r="A105" s="1" t="s">
        <v>30</v>
      </c>
      <c r="B105" s="1">
        <v>798952.17</v>
      </c>
      <c r="C105" s="1">
        <v>74413.88</v>
      </c>
      <c r="D105" s="1">
        <v>9449</v>
      </c>
      <c r="E105" s="1">
        <v>92.1</v>
      </c>
      <c r="F105">
        <f>IF(G105="East",1,0)</f>
        <v>0</v>
      </c>
      <c r="G105" s="1" t="s">
        <v>20</v>
      </c>
      <c r="H105">
        <f>149038.0278+1.183033881*C105+33.94798174*D105+2804.165526*E105-16716.89105*F105</f>
        <v>816110.29346252838</v>
      </c>
      <c r="I105">
        <f>B105-H105</f>
        <v>-17158.12346252834</v>
      </c>
    </row>
    <row r="106" spans="1:9">
      <c r="A106" s="1" t="s">
        <v>25</v>
      </c>
      <c r="B106" s="1">
        <v>491905.13</v>
      </c>
      <c r="C106" s="1">
        <v>33518.879999999997</v>
      </c>
      <c r="D106" s="1">
        <v>2121</v>
      </c>
      <c r="E106" s="1">
        <v>88.5</v>
      </c>
      <c r="F106">
        <f>IF(G106="East",1,0)</f>
        <v>0</v>
      </c>
      <c r="G106" s="1" t="s">
        <v>20</v>
      </c>
      <c r="H106">
        <f>149038.0278+1.183033881*C106+33.94798174*D106+2804.165526*E106-16716.89105*F106</f>
        <v>508864.3168147133</v>
      </c>
      <c r="I106">
        <f>B106-H106</f>
        <v>-16959.186814713292</v>
      </c>
    </row>
    <row r="107" spans="1:9">
      <c r="A107" s="1" t="s">
        <v>41</v>
      </c>
      <c r="B107" s="1">
        <v>643657.47</v>
      </c>
      <c r="C107" s="1">
        <v>56973.18</v>
      </c>
      <c r="D107" s="1">
        <v>6662</v>
      </c>
      <c r="E107" s="1">
        <v>77.7</v>
      </c>
      <c r="F107">
        <f>IF(G107="East",1,0)</f>
        <v>0</v>
      </c>
      <c r="G107" s="1" t="s">
        <v>24</v>
      </c>
      <c r="H107">
        <f>149038.0278+1.183033881*C107+33.94798174*D107+2804.165526*E107-16716.89105*F107</f>
        <v>660484.34577039164</v>
      </c>
      <c r="I107">
        <f>B107-H107</f>
        <v>-16826.875770391664</v>
      </c>
    </row>
    <row r="108" spans="1:9">
      <c r="A108" s="1" t="s">
        <v>99</v>
      </c>
      <c r="B108" s="1">
        <v>621677.30000000005</v>
      </c>
      <c r="C108" s="1">
        <v>54322.94</v>
      </c>
      <c r="D108" s="1">
        <v>5434</v>
      </c>
      <c r="E108" s="1">
        <v>85.7</v>
      </c>
      <c r="F108">
        <f>IF(G108="East",1,0)</f>
        <v>0</v>
      </c>
      <c r="G108" s="1" t="s">
        <v>24</v>
      </c>
      <c r="H108">
        <f>149038.0278+1.183033881*C108+33.94798174*D108+2804.165526*E108-16716.89105*F108</f>
        <v>638094.22468889016</v>
      </c>
      <c r="I108">
        <f>B108-H108</f>
        <v>-16416.924688890111</v>
      </c>
    </row>
    <row r="109" spans="1:9">
      <c r="A109" s="1" t="s">
        <v>62</v>
      </c>
      <c r="B109" s="1">
        <v>677096.71</v>
      </c>
      <c r="C109" s="1">
        <v>57143.3</v>
      </c>
      <c r="D109" s="1">
        <v>8038</v>
      </c>
      <c r="E109" s="1">
        <v>72.599999999999994</v>
      </c>
      <c r="F109">
        <f>IF(G109="East",1,0)</f>
        <v>0</v>
      </c>
      <c r="G109" s="1" t="s">
        <v>24</v>
      </c>
      <c r="H109">
        <f>149038.0278+1.183033881*C109+33.94798174*D109+2804.165526*E109-16716.89105*F109</f>
        <v>693096.78218586743</v>
      </c>
      <c r="I109">
        <f>B109-H109</f>
        <v>-16000.072185867466</v>
      </c>
    </row>
    <row r="110" spans="1:9">
      <c r="A110" s="1" t="s">
        <v>37</v>
      </c>
      <c r="B110" s="1">
        <v>572011.19999999995</v>
      </c>
      <c r="C110" s="1">
        <v>50343.19</v>
      </c>
      <c r="D110" s="1">
        <v>3845</v>
      </c>
      <c r="E110" s="1">
        <v>88.7</v>
      </c>
      <c r="F110">
        <f>IF(G110="East",1,0)</f>
        <v>0</v>
      </c>
      <c r="G110" s="1" t="s">
        <v>24</v>
      </c>
      <c r="H110">
        <f>149038.0278+1.183033881*C110+33.94798174*D110+2804.165526*E110-16716.89105*F110</f>
        <v>587855.19919412048</v>
      </c>
      <c r="I110">
        <f>B110-H110</f>
        <v>-15843.999194120523</v>
      </c>
    </row>
    <row r="111" spans="1:9">
      <c r="A111" s="1" t="s">
        <v>17</v>
      </c>
      <c r="B111" s="1">
        <v>761835.34</v>
      </c>
      <c r="C111" s="1">
        <v>64811.21</v>
      </c>
      <c r="D111" s="1">
        <v>9792</v>
      </c>
      <c r="E111" s="1">
        <v>84.2</v>
      </c>
      <c r="F111">
        <f>IF(G111="East",1,0)</f>
        <v>1</v>
      </c>
      <c r="G111" s="1" t="s">
        <v>15</v>
      </c>
      <c r="H111">
        <f>149038.0278+1.183033881*C111+33.94798174*D111+2804.165526*E111-16716.89105*F111</f>
        <v>777524.36853588605</v>
      </c>
      <c r="I111">
        <f>B111-H111</f>
        <v>-15689.028535886086</v>
      </c>
    </row>
    <row r="112" spans="1:9">
      <c r="A112" s="1" t="s">
        <v>67</v>
      </c>
      <c r="B112" s="1">
        <v>819660.59</v>
      </c>
      <c r="C112" s="1">
        <v>57948.88</v>
      </c>
      <c r="D112" s="1">
        <v>10741</v>
      </c>
      <c r="E112" s="1">
        <v>90.1</v>
      </c>
      <c r="F112">
        <f>IF(G112="East",1,0)</f>
        <v>0</v>
      </c>
      <c r="G112" s="1" t="s">
        <v>27</v>
      </c>
      <c r="H112">
        <f>149038.0278+1.183033881*C112+33.94798174*D112+2804.165526*E112-16716.89105*F112</f>
        <v>834884.10196794337</v>
      </c>
      <c r="I112">
        <f>B112-H112</f>
        <v>-15223.511967943399</v>
      </c>
    </row>
    <row r="113" spans="1:9">
      <c r="A113" s="1" t="s">
        <v>29</v>
      </c>
      <c r="B113" s="1">
        <v>500173.02</v>
      </c>
      <c r="C113" s="1">
        <v>44970.080000000002</v>
      </c>
      <c r="D113" s="1">
        <v>2471</v>
      </c>
      <c r="E113" s="1">
        <v>87.6</v>
      </c>
      <c r="F113">
        <f>IF(G113="East",1,0)</f>
        <v>1</v>
      </c>
      <c r="G113" s="1" t="s">
        <v>15</v>
      </c>
      <c r="H113">
        <f>149038.0278+1.183033881*C113+33.94798174*D113+2804.165526*E113-16716.89105*F113</f>
        <v>515052.62797842047</v>
      </c>
      <c r="I113">
        <f>B113-H113</f>
        <v>-14879.607978420448</v>
      </c>
    </row>
    <row r="114" spans="1:9">
      <c r="A114" s="1" t="s">
        <v>93</v>
      </c>
      <c r="B114" s="1">
        <v>636775.66</v>
      </c>
      <c r="C114" s="1">
        <v>60183.06</v>
      </c>
      <c r="D114" s="1">
        <v>5562</v>
      </c>
      <c r="E114" s="1">
        <v>86.3</v>
      </c>
      <c r="F114">
        <f>IF(G114="East",1,0)</f>
        <v>0</v>
      </c>
      <c r="G114" s="1" t="s">
        <v>27</v>
      </c>
      <c r="H114">
        <f>149038.0278+1.183033881*C114+33.94798174*D114+2804.165526*E114-16716.89105*F114</f>
        <v>651054.78617393586</v>
      </c>
      <c r="I114">
        <f>B114-H114</f>
        <v>-14279.126173935831</v>
      </c>
    </row>
    <row r="115" spans="1:9">
      <c r="A115" s="1" t="s">
        <v>81</v>
      </c>
      <c r="B115" s="1">
        <v>810355.02</v>
      </c>
      <c r="C115" s="1">
        <v>72961.95</v>
      </c>
      <c r="D115" s="1">
        <v>9996</v>
      </c>
      <c r="E115" s="1">
        <v>89.1</v>
      </c>
      <c r="F115">
        <f>IF(G115="East",1,0)</f>
        <v>0</v>
      </c>
      <c r="G115" s="1" t="s">
        <v>27</v>
      </c>
      <c r="H115">
        <f>149038.0278+1.183033881*C115+33.94798174*D115+2804.165526*E115-16716.89105*F115</f>
        <v>824549.66051346809</v>
      </c>
      <c r="I115">
        <f>B115-H115</f>
        <v>-14194.640513468068</v>
      </c>
    </row>
    <row r="116" spans="1:9">
      <c r="A116" s="1" t="s">
        <v>58</v>
      </c>
      <c r="B116" s="1">
        <v>570964.84</v>
      </c>
      <c r="C116" s="1">
        <v>60322.400000000001</v>
      </c>
      <c r="D116" s="1">
        <v>3350</v>
      </c>
      <c r="E116" s="1">
        <v>89.4</v>
      </c>
      <c r="F116">
        <f>IF(G116="East",1,0)</f>
        <v>0</v>
      </c>
      <c r="G116" s="1" t="s">
        <v>20</v>
      </c>
      <c r="H116">
        <f>149038.0278+1.183033881*C116+33.94798174*D116+2804.165526*E116-16716.89105*F116</f>
        <v>584819.60763663438</v>
      </c>
      <c r="I116">
        <f>B116-H116</f>
        <v>-13854.767636634409</v>
      </c>
    </row>
    <row r="117" spans="1:9">
      <c r="A117" s="1" t="s">
        <v>81</v>
      </c>
      <c r="B117" s="1">
        <v>761919.25</v>
      </c>
      <c r="C117" s="1">
        <v>59060.05</v>
      </c>
      <c r="D117" s="1">
        <v>9702</v>
      </c>
      <c r="E117" s="1">
        <v>80.900000000000006</v>
      </c>
      <c r="F117">
        <f>IF(G117="East",1,0)</f>
        <v>0</v>
      </c>
      <c r="G117" s="1" t="s">
        <v>27</v>
      </c>
      <c r="H117">
        <f>149038.0278+1.183033881*C117+33.94798174*D117+2804.165526*E117-16716.89105*F117</f>
        <v>775128.37785843411</v>
      </c>
      <c r="I117">
        <f>B117-H117</f>
        <v>-13209.127858434105</v>
      </c>
    </row>
    <row r="118" spans="1:9">
      <c r="A118" s="1" t="s">
        <v>75</v>
      </c>
      <c r="B118" s="1">
        <v>752321.72</v>
      </c>
      <c r="C118" s="1">
        <v>35296.54</v>
      </c>
      <c r="D118" s="1">
        <v>9644</v>
      </c>
      <c r="E118" s="1">
        <v>88</v>
      </c>
      <c r="F118">
        <f>IF(G118="East",1,0)</f>
        <v>0</v>
      </c>
      <c r="G118" s="1" t="s">
        <v>27</v>
      </c>
      <c r="H118">
        <f>149038.0278+1.183033881*C118+33.94798174*D118+2804.165526*E118-16716.89105*F118</f>
        <v>764955.93269063183</v>
      </c>
      <c r="I118">
        <f>B118-H118</f>
        <v>-12634.212690631859</v>
      </c>
    </row>
    <row r="119" spans="1:9">
      <c r="A119" s="1" t="s">
        <v>69</v>
      </c>
      <c r="B119" s="1">
        <v>443275.59</v>
      </c>
      <c r="C119" s="1">
        <v>37705.879999999997</v>
      </c>
      <c r="D119" s="1">
        <v>1268</v>
      </c>
      <c r="E119" s="1">
        <v>84.1</v>
      </c>
      <c r="F119">
        <f>IF(G119="East",1,0)</f>
        <v>1</v>
      </c>
      <c r="G119" s="1" t="s">
        <v>15</v>
      </c>
      <c r="H119">
        <f>149038.0278+1.183033881*C119+33.94798174*D119+2804.165526*E119-16716.89105*F119</f>
        <v>455804.83188584034</v>
      </c>
      <c r="I119">
        <f>B119-H119</f>
        <v>-12529.241885840311</v>
      </c>
    </row>
    <row r="120" spans="1:9">
      <c r="A120" s="1" t="s">
        <v>51</v>
      </c>
      <c r="B120" s="1">
        <v>735480.19</v>
      </c>
      <c r="C120" s="1">
        <v>54968.98</v>
      </c>
      <c r="D120" s="1">
        <v>7816</v>
      </c>
      <c r="E120" s="1">
        <v>95.7</v>
      </c>
      <c r="F120">
        <f>IF(G120="East",1,0)</f>
        <v>0</v>
      </c>
      <c r="G120" s="1" t="s">
        <v>27</v>
      </c>
      <c r="H120">
        <f>149038.0278+1.183033881*C120+33.94798174*D120+2804.165526*E120-16716.89105*F120</f>
        <v>747764.25966205145</v>
      </c>
      <c r="I120">
        <f>B120-H120</f>
        <v>-12284.069662051508</v>
      </c>
    </row>
    <row r="121" spans="1:9">
      <c r="A121" s="1" t="s">
        <v>31</v>
      </c>
      <c r="B121" s="1">
        <v>736633.4</v>
      </c>
      <c r="C121" s="1">
        <v>93381.26</v>
      </c>
      <c r="D121" s="1">
        <v>7562</v>
      </c>
      <c r="E121" s="1">
        <v>82.9</v>
      </c>
      <c r="F121">
        <f>IF(G121="East",1,0)</f>
        <v>0</v>
      </c>
      <c r="G121" s="1" t="s">
        <v>20</v>
      </c>
      <c r="H121">
        <f>149038.0278+1.183033881*C121+33.94798174*D121+2804.165526*E121-16716.89105*F121</f>
        <v>748691.18225375016</v>
      </c>
      <c r="I121">
        <f>B121-H121</f>
        <v>-12057.782253750134</v>
      </c>
    </row>
    <row r="122" spans="1:9">
      <c r="A122" s="1" t="s">
        <v>53</v>
      </c>
      <c r="B122" s="1">
        <v>842439.67</v>
      </c>
      <c r="C122" s="1">
        <v>44747</v>
      </c>
      <c r="D122" s="1">
        <v>11076</v>
      </c>
      <c r="E122" s="1">
        <v>98.3</v>
      </c>
      <c r="F122">
        <f>IF(G122="East",1,0)</f>
        <v>0</v>
      </c>
      <c r="G122" s="1" t="s">
        <v>24</v>
      </c>
      <c r="H122">
        <f>149038.0278+1.183033881*C122+33.94798174*D122+2804.165526*E122-16716.89105*F122</f>
        <v>853632.56183114718</v>
      </c>
      <c r="I122">
        <f>B122-H122</f>
        <v>-11192.891831147135</v>
      </c>
    </row>
    <row r="123" spans="1:9">
      <c r="A123" s="1" t="s">
        <v>67</v>
      </c>
      <c r="B123" s="1">
        <v>761077.08</v>
      </c>
      <c r="C123" s="1">
        <v>63010.23</v>
      </c>
      <c r="D123" s="1">
        <v>9812</v>
      </c>
      <c r="E123" s="1">
        <v>76.8</v>
      </c>
      <c r="F123">
        <f>IF(G123="East",1,0)</f>
        <v>0</v>
      </c>
      <c r="G123" s="1" t="s">
        <v>27</v>
      </c>
      <c r="H123">
        <f>149038.0278+1.183033881*C123+33.94798174*D123+2804.165526*E123-16716.89105*F123</f>
        <v>772038.77396928263</v>
      </c>
      <c r="I123">
        <f>B123-H123</f>
        <v>-10961.693969282671</v>
      </c>
    </row>
    <row r="124" spans="1:9">
      <c r="A124" s="1" t="s">
        <v>88</v>
      </c>
      <c r="B124" s="1">
        <v>708985.19</v>
      </c>
      <c r="C124" s="1">
        <v>58981.91</v>
      </c>
      <c r="D124" s="1">
        <v>7324</v>
      </c>
      <c r="E124" s="1">
        <v>95.8</v>
      </c>
      <c r="F124">
        <f>IF(G124="East",1,0)</f>
        <v>1</v>
      </c>
      <c r="G124" s="1" t="s">
        <v>15</v>
      </c>
      <c r="H124">
        <f>149038.0278+1.183033881*C124+33.94798174*D124+2804.165526*E124-16716.89105*F124</f>
        <v>719372.81030065287</v>
      </c>
      <c r="I124">
        <f>B124-H124</f>
        <v>-10387.620300652925</v>
      </c>
    </row>
    <row r="125" spans="1:9">
      <c r="A125" s="1" t="s">
        <v>72</v>
      </c>
      <c r="B125" s="1">
        <v>650795.49</v>
      </c>
      <c r="C125" s="1">
        <v>64104.28</v>
      </c>
      <c r="D125" s="1">
        <v>6015</v>
      </c>
      <c r="E125" s="1">
        <v>88.7</v>
      </c>
      <c r="F125">
        <f>IF(G125="East",1,0)</f>
        <v>1</v>
      </c>
      <c r="G125" s="1" t="s">
        <v>15</v>
      </c>
      <c r="H125">
        <f>149038.0278+1.183033881*C125+33.94798174*D125+2804.165526*E125-16716.89105*F125</f>
        <v>661085.26422941079</v>
      </c>
      <c r="I125">
        <f>B125-H125</f>
        <v>-10289.774229410803</v>
      </c>
    </row>
    <row r="126" spans="1:9">
      <c r="A126" s="1" t="s">
        <v>60</v>
      </c>
      <c r="B126" s="1">
        <v>785028.25</v>
      </c>
      <c r="C126" s="1">
        <v>75645.23</v>
      </c>
      <c r="D126" s="1">
        <v>9674</v>
      </c>
      <c r="E126" s="1">
        <v>87.4</v>
      </c>
      <c r="F126">
        <f>IF(G126="East",1,0)</f>
        <v>1</v>
      </c>
      <c r="G126" s="1" t="s">
        <v>15</v>
      </c>
      <c r="H126">
        <f>149038.0278+1.183033881*C126+33.94798174*D126+2804.165526*E126-16716.89105*F126</f>
        <v>795308.84910119779</v>
      </c>
      <c r="I126">
        <f>B126-H126</f>
        <v>-10280.599101197789</v>
      </c>
    </row>
    <row r="127" spans="1:9">
      <c r="A127" s="1" t="s">
        <v>19</v>
      </c>
      <c r="B127" s="1">
        <v>779010.94</v>
      </c>
      <c r="C127" s="1">
        <v>68133.440000000002</v>
      </c>
      <c r="D127" s="1">
        <v>9459</v>
      </c>
      <c r="E127" s="1">
        <v>85</v>
      </c>
      <c r="F127">
        <f>IF(G127="East",1,0)</f>
        <v>0</v>
      </c>
      <c r="G127" s="1" t="s">
        <v>20</v>
      </c>
      <c r="H127">
        <f>149038.0278+1.183033881*C127+33.94798174*D127+2804.165526*E127-16716.89105*F127</f>
        <v>789110.22473774059</v>
      </c>
      <c r="I127">
        <f>B127-H127</f>
        <v>-10099.284737740643</v>
      </c>
    </row>
    <row r="128" spans="1:9">
      <c r="A128" s="1" t="s">
        <v>93</v>
      </c>
      <c r="B128" s="1">
        <v>633009.53</v>
      </c>
      <c r="C128" s="1">
        <v>74539.14</v>
      </c>
      <c r="D128" s="1">
        <v>4487</v>
      </c>
      <c r="E128" s="1">
        <v>90.4</v>
      </c>
      <c r="F128">
        <f>IF(G128="East",1,0)</f>
        <v>0</v>
      </c>
      <c r="G128" s="1" t="s">
        <v>27</v>
      </c>
      <c r="H128">
        <f>149038.0278+1.183033881*C128+33.94798174*D128+2804.165526*E128-16716.89105*F128</f>
        <v>643041.51349838241</v>
      </c>
      <c r="I128">
        <f>B128-H128</f>
        <v>-10031.983498382382</v>
      </c>
    </row>
    <row r="129" spans="1:9">
      <c r="A129" s="1" t="s">
        <v>91</v>
      </c>
      <c r="B129" s="1">
        <v>756619.77</v>
      </c>
      <c r="C129" s="1">
        <v>48609.41</v>
      </c>
      <c r="D129" s="1">
        <v>9324</v>
      </c>
      <c r="E129" s="1">
        <v>86.5</v>
      </c>
      <c r="F129">
        <f>IF(G129="East",1,0)</f>
        <v>0</v>
      </c>
      <c r="G129" s="1" t="s">
        <v>24</v>
      </c>
      <c r="H129">
        <f>149038.0278+1.183033881*C129+33.94798174*D129+2804.165526*E129-16716.89105*F129</f>
        <v>765635.90650818031</v>
      </c>
      <c r="I129">
        <f>B129-H129</f>
        <v>-9016.1365081802942</v>
      </c>
    </row>
    <row r="130" spans="1:9">
      <c r="A130" s="1" t="s">
        <v>84</v>
      </c>
      <c r="B130" s="1">
        <v>647953.78</v>
      </c>
      <c r="C130" s="1">
        <v>38361.93</v>
      </c>
      <c r="D130" s="1">
        <v>6322</v>
      </c>
      <c r="E130" s="1">
        <v>88.4</v>
      </c>
      <c r="F130">
        <f>IF(G130="East",1,0)</f>
        <v>0</v>
      </c>
      <c r="G130" s="1" t="s">
        <v>20</v>
      </c>
      <c r="H130">
        <f>149038.0278+1.183033881*C130+33.94798174*D130+2804.165526*E130-16716.89105*F130</f>
        <v>656928.86378923035</v>
      </c>
      <c r="I130">
        <f>B130-H130</f>
        <v>-8975.0837892303243</v>
      </c>
    </row>
    <row r="131" spans="1:9">
      <c r="A131" s="1" t="s">
        <v>61</v>
      </c>
      <c r="B131" s="1">
        <v>700078.32</v>
      </c>
      <c r="C131" s="1">
        <v>86883.31</v>
      </c>
      <c r="D131" s="1">
        <v>6424</v>
      </c>
      <c r="E131" s="1">
        <v>85.2</v>
      </c>
      <c r="F131">
        <f>IF(G131="East",1,0)</f>
        <v>0</v>
      </c>
      <c r="G131" s="1" t="s">
        <v>20</v>
      </c>
      <c r="H131">
        <f>149038.0278+1.183033881*C131+33.94798174*D131+2804.165526*E131-16716.89105*F131</f>
        <v>708820.66473638616</v>
      </c>
      <c r="I131">
        <f>B131-H131</f>
        <v>-8742.3447363862069</v>
      </c>
    </row>
    <row r="132" spans="1:9">
      <c r="A132" s="1" t="s">
        <v>67</v>
      </c>
      <c r="B132" s="1">
        <v>751393.88</v>
      </c>
      <c r="C132" s="1">
        <v>45209.25</v>
      </c>
      <c r="D132" s="1">
        <v>9287</v>
      </c>
      <c r="E132" s="1">
        <v>86.4</v>
      </c>
      <c r="F132">
        <f>IF(G132="East",1,0)</f>
        <v>0</v>
      </c>
      <c r="G132" s="1" t="s">
        <v>27</v>
      </c>
      <c r="H132">
        <f>149038.0278+1.183033881*C132+33.94798174*D132+2804.165526*E132-16716.89105*F132</f>
        <v>760076.91015037941</v>
      </c>
      <c r="I132">
        <f>B132-H132</f>
        <v>-8683.0301503794035</v>
      </c>
    </row>
    <row r="133" spans="1:9">
      <c r="A133" s="1" t="s">
        <v>55</v>
      </c>
      <c r="B133" s="1">
        <v>593247.25</v>
      </c>
      <c r="C133" s="1">
        <v>52285.45</v>
      </c>
      <c r="D133" s="1">
        <v>3618</v>
      </c>
      <c r="E133" s="1">
        <v>95.6</v>
      </c>
      <c r="F133">
        <f>IF(G133="East",1,0)</f>
        <v>0</v>
      </c>
      <c r="G133" s="1" t="s">
        <v>20</v>
      </c>
      <c r="H133">
        <f>149038.0278+1.183033881*C133+33.94798174*D133+2804.165526*E133-16716.89105*F133</f>
        <v>601795.50885425147</v>
      </c>
      <c r="I133">
        <f>B133-H133</f>
        <v>-8548.2588542514713</v>
      </c>
    </row>
    <row r="134" spans="1:9">
      <c r="A134" s="1" t="s">
        <v>70</v>
      </c>
      <c r="B134" s="1">
        <v>559422.02</v>
      </c>
      <c r="C134" s="1">
        <v>40220.18</v>
      </c>
      <c r="D134" s="1">
        <v>3783</v>
      </c>
      <c r="E134" s="1">
        <v>86.6</v>
      </c>
      <c r="F134">
        <f>IF(G134="East",1,0)</f>
        <v>0</v>
      </c>
      <c r="G134" s="1" t="s">
        <v>27</v>
      </c>
      <c r="H134">
        <f>149038.0278+1.183033881*C134+33.94798174*D134+2804.165526*E134-16716.89105*F134</f>
        <v>567885.81291393866</v>
      </c>
      <c r="I134">
        <f>B134-H134</f>
        <v>-8463.7929139386397</v>
      </c>
    </row>
    <row r="135" spans="1:9">
      <c r="A135" s="1" t="s">
        <v>63</v>
      </c>
      <c r="B135" s="1">
        <v>665534.69999999995</v>
      </c>
      <c r="C135" s="1">
        <v>30301.86</v>
      </c>
      <c r="D135" s="1">
        <v>6939</v>
      </c>
      <c r="E135" s="1">
        <v>90.3</v>
      </c>
      <c r="F135">
        <f>IF(G135="East",1,0)</f>
        <v>0</v>
      </c>
      <c r="G135" s="1" t="s">
        <v>20</v>
      </c>
      <c r="H135">
        <f>149038.0278+1.183033881*C135+33.94798174*D135+2804.165526*E135-16716.89105*F135</f>
        <v>673667.3471289787</v>
      </c>
      <c r="I135">
        <f>B135-H135</f>
        <v>-8132.6471289787441</v>
      </c>
    </row>
    <row r="136" spans="1:9">
      <c r="A136" s="1" t="s">
        <v>64</v>
      </c>
      <c r="B136" s="1">
        <v>679731.57</v>
      </c>
      <c r="C136" s="1">
        <v>36606.51</v>
      </c>
      <c r="D136" s="1">
        <v>7671</v>
      </c>
      <c r="E136" s="1">
        <v>89.8</v>
      </c>
      <c r="F136">
        <f>IF(G136="East",1,0)</f>
        <v>1</v>
      </c>
      <c r="G136" s="1" t="s">
        <v>15</v>
      </c>
      <c r="H136">
        <f>149038.0278+1.183033881*C136+33.94798174*D136+2804.165526*E136-16716.89105*F136</f>
        <v>687856.91050750541</v>
      </c>
      <c r="I136">
        <f>B136-H136</f>
        <v>-8125.3405075054616</v>
      </c>
    </row>
    <row r="137" spans="1:9">
      <c r="A137" s="1" t="s">
        <v>48</v>
      </c>
      <c r="B137" s="1">
        <v>783797.89</v>
      </c>
      <c r="C137" s="1">
        <v>74679.350000000006</v>
      </c>
      <c r="D137" s="1">
        <v>8739</v>
      </c>
      <c r="E137" s="1">
        <v>91.8</v>
      </c>
      <c r="F137">
        <f>IF(G137="East",1,0)</f>
        <v>0</v>
      </c>
      <c r="G137" s="1" t="s">
        <v>27</v>
      </c>
      <c r="H137">
        <f>149038.0278+1.183033881*C137+33.94798174*D137+2804.165526*E137-16716.89105*F137</f>
        <v>791480.03677371738</v>
      </c>
      <c r="I137">
        <f>B137-H137</f>
        <v>-7682.1467737173662</v>
      </c>
    </row>
    <row r="138" spans="1:9">
      <c r="A138" s="1" t="s">
        <v>22</v>
      </c>
      <c r="B138" s="1">
        <v>746501.09</v>
      </c>
      <c r="C138" s="1">
        <v>59909.51</v>
      </c>
      <c r="D138" s="1">
        <v>8895</v>
      </c>
      <c r="E138" s="1">
        <v>88.8</v>
      </c>
      <c r="F138">
        <f>IF(G138="East",1,0)</f>
        <v>1</v>
      </c>
      <c r="G138" s="1" t="s">
        <v>15</v>
      </c>
      <c r="H138">
        <f>149038.0278+1.183033881*C138+33.94798174*D138+2804.165526*E138-16716.89105*F138</f>
        <v>754173.3131602084</v>
      </c>
      <c r="I138">
        <f>B138-H138</f>
        <v>-7672.2231602084357</v>
      </c>
    </row>
    <row r="139" spans="1:9">
      <c r="A139" s="1" t="s">
        <v>96</v>
      </c>
      <c r="B139" s="1">
        <v>668459.37</v>
      </c>
      <c r="C139" s="1">
        <v>55599.56</v>
      </c>
      <c r="D139" s="1">
        <v>5896</v>
      </c>
      <c r="E139" s="1">
        <v>93.1</v>
      </c>
      <c r="F139">
        <f>IF(G139="East",1,0)</f>
        <v>0</v>
      </c>
      <c r="G139" s="1" t="s">
        <v>27</v>
      </c>
      <c r="H139">
        <f>149038.0278+1.183033881*C139+33.94798174*D139+2804.165526*E139-16716.89105*F139</f>
        <v>676039.30185833247</v>
      </c>
      <c r="I139">
        <f>B139-H139</f>
        <v>-7579.9318583324784</v>
      </c>
    </row>
    <row r="140" spans="1:9">
      <c r="A140" s="1" t="s">
        <v>74</v>
      </c>
      <c r="B140" s="1">
        <v>946833.54</v>
      </c>
      <c r="C140" s="1">
        <v>107970.19</v>
      </c>
      <c r="D140" s="1">
        <v>12870</v>
      </c>
      <c r="E140" s="1">
        <v>91.7</v>
      </c>
      <c r="F140">
        <f>IF(G140="East",1,0)</f>
        <v>1</v>
      </c>
      <c r="G140" s="1" t="s">
        <v>15</v>
      </c>
      <c r="H140">
        <f>149038.0278+1.183033881*C140+33.94798174*D140+2804.165526*E140-16716.89105*F140</f>
        <v>954106.03338600753</v>
      </c>
      <c r="I140">
        <f>B140-H140</f>
        <v>-7272.4933860074962</v>
      </c>
    </row>
    <row r="141" spans="1:9">
      <c r="A141" s="1" t="s">
        <v>83</v>
      </c>
      <c r="B141" s="1">
        <v>679888.74</v>
      </c>
      <c r="C141" s="1">
        <v>21536.18</v>
      </c>
      <c r="D141" s="1">
        <v>8119</v>
      </c>
      <c r="E141" s="1">
        <v>90.4</v>
      </c>
      <c r="F141">
        <f>IF(G141="East",1,0)</f>
        <v>1</v>
      </c>
      <c r="G141" s="1" t="s">
        <v>15</v>
      </c>
      <c r="H141">
        <f>149038.0278+1.183033881*C141+33.94798174*D141+2804.165526*E141-16716.89105*F141</f>
        <v>686919.39465477457</v>
      </c>
      <c r="I141">
        <f>B141-H141</f>
        <v>-7030.654654774582</v>
      </c>
    </row>
    <row r="142" spans="1:9">
      <c r="A142" s="1" t="s">
        <v>94</v>
      </c>
      <c r="B142" s="1">
        <v>702068.92</v>
      </c>
      <c r="C142" s="1">
        <v>54080.91</v>
      </c>
      <c r="D142" s="1">
        <v>7083</v>
      </c>
      <c r="E142" s="1">
        <v>97</v>
      </c>
      <c r="F142">
        <f>IF(G142="East",1,0)</f>
        <v>1</v>
      </c>
      <c r="G142" s="1" t="s">
        <v>15</v>
      </c>
      <c r="H142">
        <f>149038.0278+1.183033881*C142+33.94798174*D142+2804.165526*E142-16716.89105*F142</f>
        <v>708758.2962817318</v>
      </c>
      <c r="I142">
        <f>B142-H142</f>
        <v>-6689.376281731762</v>
      </c>
    </row>
    <row r="143" spans="1:9">
      <c r="A143" s="1" t="s">
        <v>51</v>
      </c>
      <c r="B143" s="1">
        <v>714942.43</v>
      </c>
      <c r="C143" s="1">
        <v>43685.14</v>
      </c>
      <c r="D143" s="1">
        <v>7821</v>
      </c>
      <c r="E143" s="1">
        <v>91</v>
      </c>
      <c r="F143">
        <f>IF(G143="East",1,0)</f>
        <v>0</v>
      </c>
      <c r="G143" s="1" t="s">
        <v>27</v>
      </c>
      <c r="H143">
        <f>149038.0278+1.183033881*C143+33.94798174*D143+2804.165526*E143-16716.89105*F143</f>
        <v>721405.25657076843</v>
      </c>
      <c r="I143">
        <f>B143-H143</f>
        <v>-6462.8265707683749</v>
      </c>
    </row>
    <row r="144" spans="1:9">
      <c r="A144" s="1" t="s">
        <v>97</v>
      </c>
      <c r="B144" s="1">
        <v>730890.01</v>
      </c>
      <c r="C144" s="1">
        <v>52843.75</v>
      </c>
      <c r="D144" s="1">
        <v>8268</v>
      </c>
      <c r="E144" s="1">
        <v>87.3</v>
      </c>
      <c r="F144">
        <f>IF(G144="East",1,0)</f>
        <v>0</v>
      </c>
      <c r="G144" s="1" t="s">
        <v>20</v>
      </c>
      <c r="H144">
        <f>149038.0278+1.183033881*C144+33.94798174*D144+2804.165526*E144-16716.89105*F144</f>
        <v>737039.53789521381</v>
      </c>
      <c r="I144">
        <f>B144-H144</f>
        <v>-6149.5278952138033</v>
      </c>
    </row>
    <row r="145" spans="1:9">
      <c r="A145" s="1" t="s">
        <v>43</v>
      </c>
      <c r="B145" s="1">
        <v>450711.92</v>
      </c>
      <c r="C145" s="1">
        <v>18996.32</v>
      </c>
      <c r="D145" s="1">
        <v>1260</v>
      </c>
      <c r="E145" s="1">
        <v>86.4</v>
      </c>
      <c r="F145">
        <f>IF(G145="East",1,0)</f>
        <v>0</v>
      </c>
      <c r="G145" s="1" t="s">
        <v>27</v>
      </c>
      <c r="H145">
        <f>149038.0278+1.183033881*C145+33.94798174*D145+2804.165526*E145-16716.89105*F145</f>
        <v>456565.67641311797</v>
      </c>
      <c r="I145">
        <f>B145-H145</f>
        <v>-5853.7564131179824</v>
      </c>
    </row>
    <row r="146" spans="1:9">
      <c r="A146" s="1" t="s">
        <v>54</v>
      </c>
      <c r="B146" s="1">
        <v>811452.72</v>
      </c>
      <c r="C146" s="1">
        <v>66455.8</v>
      </c>
      <c r="D146" s="1">
        <v>10836</v>
      </c>
      <c r="E146" s="1">
        <v>85</v>
      </c>
      <c r="F146">
        <f>IF(G146="East",1,0)</f>
        <v>1</v>
      </c>
      <c r="G146" s="1" t="s">
        <v>15</v>
      </c>
      <c r="H146">
        <f>149038.0278+1.183033881*C146+33.94798174*D146+2804.165526*E146-16716.89105*F146</f>
        <v>817154.99958359986</v>
      </c>
      <c r="I146">
        <f>B146-H146</f>
        <v>-5702.2795835998841</v>
      </c>
    </row>
    <row r="147" spans="1:9">
      <c r="A147" s="1" t="s">
        <v>48</v>
      </c>
      <c r="B147" s="1">
        <v>665594.93999999994</v>
      </c>
      <c r="C147" s="1">
        <v>31042.03</v>
      </c>
      <c r="D147" s="1">
        <v>7107</v>
      </c>
      <c r="E147" s="1">
        <v>87</v>
      </c>
      <c r="F147">
        <f>IF(G147="East",1,0)</f>
        <v>0</v>
      </c>
      <c r="G147" s="1" t="s">
        <v>27</v>
      </c>
      <c r="H147">
        <f>149038.0278+1.183033881*C147+33.94798174*D147+2804.165526*E147-16716.89105*F147</f>
        <v>670992.5080131985</v>
      </c>
      <c r="I147">
        <f>B147-H147</f>
        <v>-5397.5680131985573</v>
      </c>
    </row>
    <row r="148" spans="1:9">
      <c r="A148" s="1" t="s">
        <v>101</v>
      </c>
      <c r="B148" s="1">
        <v>726776.22</v>
      </c>
      <c r="C148" s="1">
        <v>81902.58</v>
      </c>
      <c r="D148" s="1">
        <v>7775</v>
      </c>
      <c r="E148" s="1">
        <v>85.2</v>
      </c>
      <c r="F148">
        <f>IF(G148="East",1,0)</f>
        <v>1</v>
      </c>
      <c r="G148" s="1" t="s">
        <v>15</v>
      </c>
      <c r="H148">
        <f>149038.0278+1.183033881*C148+33.94798174*D148+2804.165526*E148-16716.89105*F148</f>
        <v>732075.12467501312</v>
      </c>
      <c r="I148">
        <f>B148-H148</f>
        <v>-5298.9046750131529</v>
      </c>
    </row>
    <row r="149" spans="1:9">
      <c r="A149" s="1" t="s">
        <v>97</v>
      </c>
      <c r="B149" s="1">
        <v>724346.73</v>
      </c>
      <c r="C149" s="1">
        <v>63986.98</v>
      </c>
      <c r="D149" s="1">
        <v>7989</v>
      </c>
      <c r="E149" s="1">
        <v>83.3</v>
      </c>
      <c r="F149">
        <f>IF(G149="East",1,0)</f>
        <v>0</v>
      </c>
      <c r="G149" s="1" t="s">
        <v>20</v>
      </c>
      <c r="H149">
        <f>149038.0278+1.183033881*C149+33.94798174*D149+2804.165526*E149-16716.89105*F149</f>
        <v>729534.20751952939</v>
      </c>
      <c r="I149">
        <f>B149-H149</f>
        <v>-5187.477519529406</v>
      </c>
    </row>
    <row r="150" spans="1:9">
      <c r="A150" s="1" t="s">
        <v>62</v>
      </c>
      <c r="B150" s="1">
        <v>692008.64</v>
      </c>
      <c r="C150" s="1">
        <v>66870.62</v>
      </c>
      <c r="D150" s="1">
        <v>6055</v>
      </c>
      <c r="E150" s="1">
        <v>93.8</v>
      </c>
      <c r="F150">
        <f>IF(G150="East",1,0)</f>
        <v>0</v>
      </c>
      <c r="G150" s="1" t="s">
        <v>24</v>
      </c>
      <c r="H150">
        <f>149038.0278+1.183033881*C150+33.94798174*D150+2804.165526*E150-16716.89105*F150</f>
        <v>696733.99267797614</v>
      </c>
      <c r="I150">
        <f>B150-H150</f>
        <v>-4725.3526779761305</v>
      </c>
    </row>
    <row r="151" spans="1:9">
      <c r="A151" s="1" t="s">
        <v>26</v>
      </c>
      <c r="B151" s="1">
        <v>783672.82</v>
      </c>
      <c r="C151" s="1">
        <v>55270.52</v>
      </c>
      <c r="D151" s="1">
        <v>9315</v>
      </c>
      <c r="E151" s="1">
        <v>91.9</v>
      </c>
      <c r="F151">
        <f>IF(G151="East",1,0)</f>
        <v>0</v>
      </c>
      <c r="G151" s="1" t="s">
        <v>27</v>
      </c>
      <c r="H151">
        <f>149038.0278+1.183033881*C151+33.94798174*D151+2804.165526*E151-16716.89105*F151</f>
        <v>788353.18732798821</v>
      </c>
      <c r="I151">
        <f>B151-H151</f>
        <v>-4680.3673279882642</v>
      </c>
    </row>
    <row r="152" spans="1:9">
      <c r="A152" s="1" t="s">
        <v>49</v>
      </c>
      <c r="B152" s="1">
        <v>633494.21</v>
      </c>
      <c r="C152" s="1">
        <v>51056.15</v>
      </c>
      <c r="D152" s="1">
        <v>5686</v>
      </c>
      <c r="E152" s="1">
        <v>89.9</v>
      </c>
      <c r="F152">
        <f>IF(G152="East",1,0)</f>
        <v>1</v>
      </c>
      <c r="G152" s="1" t="s">
        <v>15</v>
      </c>
      <c r="H152">
        <f>149038.0278+1.183033881*C152+33.94798174*D152+2804.165526*E152-16716.89105*F152</f>
        <v>637844.99699445826</v>
      </c>
      <c r="I152">
        <f>B152-H152</f>
        <v>-4350.7869944582926</v>
      </c>
    </row>
    <row r="153" spans="1:9">
      <c r="A153" s="1" t="s">
        <v>53</v>
      </c>
      <c r="B153" s="1">
        <v>697155.3</v>
      </c>
      <c r="C153" s="1">
        <v>37828.5</v>
      </c>
      <c r="D153" s="1">
        <v>8221</v>
      </c>
      <c r="E153" s="1">
        <v>81.5</v>
      </c>
      <c r="F153">
        <f>IF(G153="East",1,0)</f>
        <v>0</v>
      </c>
      <c r="G153" s="1" t="s">
        <v>24</v>
      </c>
      <c r="H153">
        <f>149038.0278+1.183033881*C153+33.94798174*D153+2804.165526*E153-16716.89105*F153</f>
        <v>701416.27322094864</v>
      </c>
      <c r="I153">
        <f>B153-H153</f>
        <v>-4260.9732209485956</v>
      </c>
    </row>
    <row r="154" spans="1:9">
      <c r="A154" s="1" t="s">
        <v>67</v>
      </c>
      <c r="B154" s="1">
        <v>855341.28</v>
      </c>
      <c r="C154" s="1">
        <v>68491.11</v>
      </c>
      <c r="D154" s="1">
        <v>11154</v>
      </c>
      <c r="E154" s="1">
        <v>89.4</v>
      </c>
      <c r="F154">
        <f>IF(G154="East",1,0)</f>
        <v>0</v>
      </c>
      <c r="G154" s="1" t="s">
        <v>27</v>
      </c>
      <c r="H154">
        <f>149038.0278+1.183033881*C154+33.94798174*D154+2804.165526*E154-16716.89105*F154</f>
        <v>859413.517829658</v>
      </c>
      <c r="I154">
        <f>B154-H154</f>
        <v>-4072.23782965797</v>
      </c>
    </row>
    <row r="155" spans="1:9">
      <c r="A155" s="1" t="s">
        <v>93</v>
      </c>
      <c r="B155" s="1">
        <v>609949</v>
      </c>
      <c r="C155" s="1">
        <v>55371.97</v>
      </c>
      <c r="D155" s="1">
        <v>4162</v>
      </c>
      <c r="E155" s="1">
        <v>92</v>
      </c>
      <c r="F155">
        <f>IF(G155="East",1,0)</f>
        <v>0</v>
      </c>
      <c r="G155" s="1" t="s">
        <v>27</v>
      </c>
      <c r="H155">
        <f>149038.0278+1.183033881*C155+33.94798174*D155+2804.165526*E155-16716.89105*F155</f>
        <v>613819.67276159558</v>
      </c>
      <c r="I155">
        <f>B155-H155</f>
        <v>-3870.6727615955751</v>
      </c>
    </row>
    <row r="156" spans="1:9">
      <c r="A156" s="1" t="s">
        <v>74</v>
      </c>
      <c r="B156" s="1">
        <v>761963.23</v>
      </c>
      <c r="C156" s="1">
        <v>49405.75</v>
      </c>
      <c r="D156" s="1">
        <v>9752</v>
      </c>
      <c r="E156" s="1">
        <v>87</v>
      </c>
      <c r="F156">
        <f>IF(G156="East",1,0)</f>
        <v>1</v>
      </c>
      <c r="G156" s="1" t="s">
        <v>15</v>
      </c>
      <c r="H156">
        <f>149038.0278+1.183033881*C156+33.94798174*D156+2804.165526*E156-16716.89105*F156</f>
        <v>765792.93160669587</v>
      </c>
      <c r="I156">
        <f>B156-H156</f>
        <v>-3829.7016066958895</v>
      </c>
    </row>
    <row r="157" spans="1:9">
      <c r="A157" s="1" t="s">
        <v>43</v>
      </c>
      <c r="B157" s="1">
        <v>614596.31999999995</v>
      </c>
      <c r="C157" s="1">
        <v>78231.91</v>
      </c>
      <c r="D157" s="1">
        <v>3788</v>
      </c>
      <c r="E157" s="1">
        <v>88.5</v>
      </c>
      <c r="F157">
        <f>IF(G157="East",1,0)</f>
        <v>0</v>
      </c>
      <c r="G157" s="1" t="s">
        <v>27</v>
      </c>
      <c r="H157">
        <f>149038.0278+1.183033881*C157+33.94798174*D157+2804.165526*E157-16716.89105*F157</f>
        <v>618352.63178746274</v>
      </c>
      <c r="I157">
        <f>B157-H157</f>
        <v>-3756.3117874627933</v>
      </c>
    </row>
    <row r="158" spans="1:9">
      <c r="A158" s="1" t="s">
        <v>25</v>
      </c>
      <c r="B158" s="1">
        <v>565810.99</v>
      </c>
      <c r="C158" s="1">
        <v>62060.43</v>
      </c>
      <c r="D158" s="1">
        <v>2613</v>
      </c>
      <c r="E158" s="1">
        <v>92.1</v>
      </c>
      <c r="F158">
        <f>IF(G158="East",1,0)</f>
        <v>0</v>
      </c>
      <c r="G158" s="1" t="s">
        <v>20</v>
      </c>
      <c r="H158">
        <f>149038.0278+1.183033881*C158+33.94798174*D158+2804.165526*E158-16716.89105*F158</f>
        <v>569427.34039064893</v>
      </c>
      <c r="I158">
        <f>B158-H158</f>
        <v>-3616.350390648935</v>
      </c>
    </row>
    <row r="159" spans="1:9">
      <c r="A159" s="1" t="s">
        <v>92</v>
      </c>
      <c r="B159" s="1">
        <v>497439.82</v>
      </c>
      <c r="C159" s="1">
        <v>18599.21</v>
      </c>
      <c r="D159" s="1">
        <v>3027</v>
      </c>
      <c r="E159" s="1">
        <v>80.900000000000006</v>
      </c>
      <c r="F159">
        <f>IF(G159="East",1,0)</f>
        <v>0</v>
      </c>
      <c r="G159" s="1" t="s">
        <v>24</v>
      </c>
      <c r="H159">
        <f>149038.0278+1.183033881*C159+33.94798174*D159+2804.165526*E159-16716.89105*F159</f>
        <v>500659.05517021404</v>
      </c>
      <c r="I159">
        <f>B159-H159</f>
        <v>-3219.2351702140295</v>
      </c>
    </row>
    <row r="160" spans="1:9">
      <c r="A160" s="1" t="s">
        <v>80</v>
      </c>
      <c r="B160" s="1">
        <v>670629.48</v>
      </c>
      <c r="C160" s="1">
        <v>47944.14</v>
      </c>
      <c r="D160" s="1">
        <v>6169</v>
      </c>
      <c r="E160" s="1">
        <v>92.2</v>
      </c>
      <c r="F160">
        <f>IF(G160="East",1,0)</f>
        <v>0</v>
      </c>
      <c r="G160" s="1" t="s">
        <v>27</v>
      </c>
      <c r="H160">
        <f>149038.0278+1.183033881*C160+33.94798174*D160+2804.165526*E160-16716.89105*F160</f>
        <v>673726.73066666746</v>
      </c>
      <c r="I160">
        <f>B160-H160</f>
        <v>-3097.2506666674744</v>
      </c>
    </row>
    <row r="161" spans="1:9">
      <c r="A161" s="1" t="s">
        <v>46</v>
      </c>
      <c r="B161" s="1">
        <v>691113.62</v>
      </c>
      <c r="C161" s="1">
        <v>61132.07</v>
      </c>
      <c r="D161" s="1">
        <v>6394</v>
      </c>
      <c r="E161" s="1">
        <v>91</v>
      </c>
      <c r="F161">
        <f>IF(G161="East",1,0)</f>
        <v>0</v>
      </c>
      <c r="G161" s="1" t="s">
        <v>27</v>
      </c>
      <c r="H161">
        <f>149038.0278+1.183033881*C161+33.94798174*D161+2804.165526*E161-16716.89105*F161</f>
        <v>693601.79593722371</v>
      </c>
      <c r="I161">
        <f>B161-H161</f>
        <v>-2488.1759372237138</v>
      </c>
    </row>
    <row r="162" spans="1:9">
      <c r="A162" s="1" t="s">
        <v>73</v>
      </c>
      <c r="B162" s="1">
        <v>825060.52</v>
      </c>
      <c r="C162" s="1">
        <v>92090.14</v>
      </c>
      <c r="D162" s="1">
        <v>9476</v>
      </c>
      <c r="E162" s="1">
        <v>94.3</v>
      </c>
      <c r="F162">
        <f>IF(G162="East",1,0)</f>
        <v>1</v>
      </c>
      <c r="G162" s="1" t="s">
        <v>15</v>
      </c>
      <c r="H162">
        <f>149038.0278+1.183033881*C162+33.94798174*D162+2804.165526*E162-16716.89105*F162</f>
        <v>827390.77654607338</v>
      </c>
      <c r="I162">
        <f>B162-H162</f>
        <v>-2330.2565460733604</v>
      </c>
    </row>
    <row r="163" spans="1:9">
      <c r="A163" s="1" t="s">
        <v>68</v>
      </c>
      <c r="B163" s="1">
        <v>712546.38</v>
      </c>
      <c r="C163" s="1">
        <v>72784.800000000003</v>
      </c>
      <c r="D163" s="1">
        <v>7932</v>
      </c>
      <c r="E163" s="1">
        <v>74.900000000000006</v>
      </c>
      <c r="F163">
        <f>IF(G163="East",1,0)</f>
        <v>0</v>
      </c>
      <c r="G163" s="1" t="s">
        <v>20</v>
      </c>
      <c r="H163">
        <f>149038.0278+1.183033881*C163+33.94798174*D163+2804.165526*E163-16716.89105*F163</f>
        <v>714452.30128088885</v>
      </c>
      <c r="I163">
        <f>B163-H163</f>
        <v>-1905.9212808888406</v>
      </c>
    </row>
    <row r="164" spans="1:9">
      <c r="A164" s="1" t="s">
        <v>87</v>
      </c>
      <c r="B164" s="1">
        <v>605751.32999999996</v>
      </c>
      <c r="C164" s="1">
        <v>43288.2</v>
      </c>
      <c r="D164" s="1">
        <v>4783</v>
      </c>
      <c r="E164" s="1">
        <v>87.3</v>
      </c>
      <c r="F164">
        <f>IF(G164="East",1,0)</f>
        <v>0</v>
      </c>
      <c r="G164" s="1" t="s">
        <v>27</v>
      </c>
      <c r="H164">
        <f>149038.0278+1.183033881*C164+33.94798174*D164+2804.165526*E164-16716.89105*F164</f>
        <v>607426.28212972428</v>
      </c>
      <c r="I164">
        <f>B164-H164</f>
        <v>-1674.9521297243191</v>
      </c>
    </row>
    <row r="165" spans="1:9">
      <c r="A165" s="1" t="s">
        <v>76</v>
      </c>
      <c r="B165" s="1">
        <v>622892.42000000004</v>
      </c>
      <c r="C165" s="1">
        <v>33987.33</v>
      </c>
      <c r="D165" s="1">
        <v>5014</v>
      </c>
      <c r="E165" s="1">
        <v>94.3</v>
      </c>
      <c r="F165">
        <f>IF(G165="East",1,0)</f>
        <v>0</v>
      </c>
      <c r="G165" s="1" t="s">
        <v>20</v>
      </c>
      <c r="H165">
        <f>149038.0278+1.183033881*C165+33.94798174*D165+2804.165526*E165-16716.89105*F165</f>
        <v>623894.18026088784</v>
      </c>
      <c r="I165">
        <f>B165-H165</f>
        <v>-1001.7602608877933</v>
      </c>
    </row>
    <row r="166" spans="1:9">
      <c r="A166" s="1" t="s">
        <v>36</v>
      </c>
      <c r="B166" s="1">
        <v>500298.48</v>
      </c>
      <c r="C166" s="1">
        <v>59405.68</v>
      </c>
      <c r="D166" s="1">
        <v>2515</v>
      </c>
      <c r="E166" s="1">
        <v>76</v>
      </c>
      <c r="F166">
        <f>IF(G166="East",1,0)</f>
        <v>1</v>
      </c>
      <c r="G166" s="1" t="s">
        <v>15</v>
      </c>
      <c r="H166">
        <f>149038.0278+1.183033881*C166+33.94798174*D166+2804.165526*E166-16716.89105*F166</f>
        <v>501095.82296594413</v>
      </c>
      <c r="I166">
        <f>B166-H166</f>
        <v>-797.34296594414627</v>
      </c>
    </row>
    <row r="167" spans="1:9">
      <c r="A167" s="1" t="s">
        <v>46</v>
      </c>
      <c r="B167" s="1">
        <v>605775.32999999996</v>
      </c>
      <c r="C167" s="1">
        <v>38752.800000000003</v>
      </c>
      <c r="D167" s="1">
        <v>4712</v>
      </c>
      <c r="E167" s="1">
        <v>89.7</v>
      </c>
      <c r="F167">
        <f>IF(G167="East",1,0)</f>
        <v>0</v>
      </c>
      <c r="G167" s="1" t="s">
        <v>27</v>
      </c>
      <c r="H167">
        <f>149038.0278+1.183033881*C167+33.94798174*D167+2804.165526*E167-16716.89105*F167</f>
        <v>606380.44082469691</v>
      </c>
      <c r="I167">
        <f>B167-H167</f>
        <v>-605.11082469695248</v>
      </c>
    </row>
    <row r="168" spans="1:9">
      <c r="A168" s="1" t="s">
        <v>95</v>
      </c>
      <c r="B168" s="1">
        <v>498970.32</v>
      </c>
      <c r="C168" s="1">
        <v>59825.51</v>
      </c>
      <c r="D168" s="1">
        <v>1231</v>
      </c>
      <c r="E168" s="1">
        <v>84.8</v>
      </c>
      <c r="F168">
        <f>IF(G168="East",1,0)</f>
        <v>0</v>
      </c>
      <c r="G168" s="1" t="s">
        <v>27</v>
      </c>
      <c r="H168">
        <f>149038.0278+1.183033881*C168+33.94798174*D168+2804.165526*E168-16716.89105*F168</f>
        <v>499396.83520484436</v>
      </c>
      <c r="I168">
        <f>B168-H168</f>
        <v>-426.51520484435605</v>
      </c>
    </row>
    <row r="169" spans="1:9">
      <c r="A169" s="1" t="s">
        <v>77</v>
      </c>
      <c r="B169" s="1">
        <v>732667.92</v>
      </c>
      <c r="C169" s="1">
        <v>66962.740000000005</v>
      </c>
      <c r="D169" s="1">
        <v>7880</v>
      </c>
      <c r="E169" s="1">
        <v>90.4</v>
      </c>
      <c r="F169">
        <f>IF(G169="East",1,0)</f>
        <v>1</v>
      </c>
      <c r="G169" s="1" t="s">
        <v>15</v>
      </c>
      <c r="H169">
        <f>149038.0278+1.183033881*C169+33.94798174*D169+2804.165526*E169-16716.89105*F169</f>
        <v>732546.9865961941</v>
      </c>
      <c r="I169">
        <f>B169-H169</f>
        <v>120.933403805946</v>
      </c>
    </row>
    <row r="170" spans="1:9">
      <c r="A170" s="1" t="s">
        <v>54</v>
      </c>
      <c r="B170" s="1">
        <v>801830.35</v>
      </c>
      <c r="C170" s="1">
        <v>68410.929999999993</v>
      </c>
      <c r="D170" s="1">
        <v>10596</v>
      </c>
      <c r="E170" s="1">
        <v>81.2</v>
      </c>
      <c r="F170">
        <f>IF(G170="East",1,0)</f>
        <v>1</v>
      </c>
      <c r="G170" s="1" t="s">
        <v>15</v>
      </c>
      <c r="H170">
        <f>149038.0278+1.183033881*C170+33.94798174*D170+2804.165526*E170-16716.89105*F170</f>
        <v>800664.63999895938</v>
      </c>
      <c r="I170">
        <f>B170-H170</f>
        <v>1165.7100010405993</v>
      </c>
    </row>
    <row r="171" spans="1:9">
      <c r="A171" s="1" t="s">
        <v>31</v>
      </c>
      <c r="B171" s="1">
        <v>828623.85</v>
      </c>
      <c r="C171" s="1">
        <v>65012.19</v>
      </c>
      <c r="D171" s="1">
        <v>9598</v>
      </c>
      <c r="E171" s="1">
        <v>98.3</v>
      </c>
      <c r="F171">
        <f>IF(G171="East",1,0)</f>
        <v>0</v>
      </c>
      <c r="G171" s="1" t="s">
        <v>20</v>
      </c>
      <c r="H171">
        <f>149038.0278+1.183033881*C171+33.94798174*D171+2804.165526*E171-16716.89105*F171</f>
        <v>827431.85119432956</v>
      </c>
      <c r="I171">
        <f>B171-H171</f>
        <v>1191.9988056704169</v>
      </c>
    </row>
    <row r="172" spans="1:9">
      <c r="A172" s="1" t="s">
        <v>33</v>
      </c>
      <c r="B172" s="1">
        <v>585365.73</v>
      </c>
      <c r="C172" s="1">
        <v>42093.84</v>
      </c>
      <c r="D172" s="1">
        <v>4074</v>
      </c>
      <c r="E172" s="1">
        <v>88</v>
      </c>
      <c r="F172">
        <f>IF(G172="East",1,0)</f>
        <v>0</v>
      </c>
      <c r="G172" s="1" t="s">
        <v>27</v>
      </c>
      <c r="H172">
        <f>149038.0278+1.183033881*C172+33.94798174*D172+2804.165526*E172-16716.89105*F172</f>
        <v>583907.11059815309</v>
      </c>
      <c r="I172">
        <f>B172-H172</f>
        <v>1458.6194018468959</v>
      </c>
    </row>
    <row r="173" spans="1:9">
      <c r="A173" s="1" t="s">
        <v>72</v>
      </c>
      <c r="B173" s="1">
        <v>598904.9</v>
      </c>
      <c r="C173" s="1">
        <v>22312.93</v>
      </c>
      <c r="D173" s="1">
        <v>5955</v>
      </c>
      <c r="E173" s="1">
        <v>84.2</v>
      </c>
      <c r="F173">
        <f>IF(G173="East",1,0)</f>
        <v>1</v>
      </c>
      <c r="G173" s="1" t="s">
        <v>15</v>
      </c>
      <c r="H173">
        <f>149038.0278+1.183033881*C173+33.94798174*D173+2804.165526*E173-16716.89105*F173</f>
        <v>596989.05747528141</v>
      </c>
      <c r="I173">
        <f>B173-H173</f>
        <v>1915.8425247186096</v>
      </c>
    </row>
    <row r="174" spans="1:9">
      <c r="A174" s="1" t="s">
        <v>89</v>
      </c>
      <c r="B174" s="1">
        <v>799756.46</v>
      </c>
      <c r="C174" s="1">
        <v>61995.3</v>
      </c>
      <c r="D174" s="1">
        <v>10192</v>
      </c>
      <c r="E174" s="1">
        <v>87.6</v>
      </c>
      <c r="F174">
        <f>IF(G174="East",1,0)</f>
        <v>1</v>
      </c>
      <c r="G174" s="1" t="s">
        <v>15</v>
      </c>
      <c r="H174">
        <f>149038.0278+1.183033881*C174+33.94798174*D174+2804.165526*E174-16716.89105*F174</f>
        <v>797306.40708443942</v>
      </c>
      <c r="I174">
        <f>B174-H174</f>
        <v>2450.0529155605473</v>
      </c>
    </row>
    <row r="175" spans="1:9">
      <c r="A175" s="1" t="s">
        <v>38</v>
      </c>
      <c r="B175" s="1">
        <v>740496.65</v>
      </c>
      <c r="C175" s="1">
        <v>42018.400000000001</v>
      </c>
      <c r="D175" s="1">
        <v>8296</v>
      </c>
      <c r="E175" s="1">
        <v>91.8</v>
      </c>
      <c r="F175">
        <f>IF(G175="East",1,0)</f>
        <v>0</v>
      </c>
      <c r="G175" s="1" t="s">
        <v>27</v>
      </c>
      <c r="H175">
        <f>149038.0278+1.183033881*C175+33.94798174*D175+2804.165526*E175-16716.89105*F175</f>
        <v>737802.07042725047</v>
      </c>
      <c r="I175">
        <f>B175-H175</f>
        <v>2694.579572749557</v>
      </c>
    </row>
    <row r="176" spans="1:9">
      <c r="A176" s="1" t="s">
        <v>75</v>
      </c>
      <c r="B176" s="1">
        <v>836908.24</v>
      </c>
      <c r="C176" s="1">
        <v>47391.09</v>
      </c>
      <c r="D176" s="1">
        <v>11224</v>
      </c>
      <c r="E176" s="1">
        <v>88.4</v>
      </c>
      <c r="F176">
        <f>IF(G176="East",1,0)</f>
        <v>0</v>
      </c>
      <c r="G176" s="1" t="s">
        <v>27</v>
      </c>
      <c r="H176">
        <f>149038.0278+1.183033881*C176+33.94798174*D176+2804.165526*E176-16716.89105*F176</f>
        <v>834023.67247568036</v>
      </c>
      <c r="I176">
        <f>B176-H176</f>
        <v>2884.567524319631</v>
      </c>
    </row>
    <row r="177" spans="1:9">
      <c r="A177" s="1" t="s">
        <v>90</v>
      </c>
      <c r="B177" s="1">
        <v>645039.97</v>
      </c>
      <c r="C177" s="1">
        <v>50532.17</v>
      </c>
      <c r="D177" s="1">
        <v>5689</v>
      </c>
      <c r="E177" s="1">
        <v>85.6</v>
      </c>
      <c r="F177">
        <f>IF(G177="East",1,0)</f>
        <v>0</v>
      </c>
      <c r="G177" s="1" t="s">
        <v>27</v>
      </c>
      <c r="H177">
        <f>149038.0278+1.183033881*C177+33.94798174*D177+2804.165526*E177-16716.89105*F177</f>
        <v>641985.93413491175</v>
      </c>
      <c r="I177">
        <f>B177-H177</f>
        <v>3054.0358650882263</v>
      </c>
    </row>
    <row r="178" spans="1:9">
      <c r="A178" s="1" t="s">
        <v>29</v>
      </c>
      <c r="B178" s="1">
        <v>537383.79</v>
      </c>
      <c r="C178" s="1">
        <v>63176.73</v>
      </c>
      <c r="D178" s="1">
        <v>2390</v>
      </c>
      <c r="E178" s="1">
        <v>87.5</v>
      </c>
      <c r="F178">
        <f>IF(G178="East",1,0)</f>
        <v>1</v>
      </c>
      <c r="G178" s="1" t="s">
        <v>15</v>
      </c>
      <c r="H178">
        <f>149038.0278+1.183033881*C178+33.94798174*D178+2804.165526*E178-16716.89105*F178</f>
        <v>533561.50871438917</v>
      </c>
      <c r="I178">
        <f>B178-H178</f>
        <v>3822.2812856108649</v>
      </c>
    </row>
    <row r="179" spans="1:9">
      <c r="A179" s="1" t="s">
        <v>77</v>
      </c>
      <c r="B179" s="1">
        <v>672670.54</v>
      </c>
      <c r="C179" s="1">
        <v>27194.639999999999</v>
      </c>
      <c r="D179" s="1">
        <v>7404</v>
      </c>
      <c r="E179" s="1">
        <v>90.2</v>
      </c>
      <c r="F179">
        <f>IF(G179="East",1,0)</f>
        <v>1</v>
      </c>
      <c r="G179" s="1" t="s">
        <v>15</v>
      </c>
      <c r="H179">
        <f>149038.0278+1.183033881*C179+33.94798174*D179+2804.165526*E179-16716.89105*F179</f>
        <v>668779.90449975792</v>
      </c>
      <c r="I179">
        <f>B179-H179</f>
        <v>3890.6355002421187</v>
      </c>
    </row>
    <row r="180" spans="1:9">
      <c r="A180" s="1" t="s">
        <v>80</v>
      </c>
      <c r="B180" s="1">
        <v>640666.53</v>
      </c>
      <c r="C180" s="1">
        <v>62582.71</v>
      </c>
      <c r="D180" s="1">
        <v>5479</v>
      </c>
      <c r="E180" s="1">
        <v>81.2</v>
      </c>
      <c r="F180">
        <f>IF(G180="East",1,0)</f>
        <v>0</v>
      </c>
      <c r="G180" s="1" t="s">
        <v>27</v>
      </c>
      <c r="H180">
        <f>149038.0278+1.183033881*C180+33.94798174*D180+2804.165526*E180-16716.89105*F180</f>
        <v>636774.72675945761</v>
      </c>
      <c r="I180">
        <f>B180-H180</f>
        <v>3891.8032405424165</v>
      </c>
    </row>
    <row r="181" spans="1:9">
      <c r="A181" s="1" t="s">
        <v>60</v>
      </c>
      <c r="B181" s="1">
        <v>702318.94</v>
      </c>
      <c r="C181" s="1">
        <v>42698.14</v>
      </c>
      <c r="D181" s="1">
        <v>7693</v>
      </c>
      <c r="E181" s="1">
        <v>90.1</v>
      </c>
      <c r="F181">
        <f>IF(G181="East",1,0)</f>
        <v>1</v>
      </c>
      <c r="G181" s="1" t="s">
        <v>15</v>
      </c>
      <c r="H181">
        <f>149038.0278+1.183033881*C181+33.94798174*D181+2804.165526*E181-16716.89105*F181</f>
        <v>696651.6204441014</v>
      </c>
      <c r="I181">
        <f>B181-H181</f>
        <v>5667.3195558985462</v>
      </c>
    </row>
    <row r="182" spans="1:9">
      <c r="A182" s="1" t="s">
        <v>87</v>
      </c>
      <c r="B182" s="1">
        <v>528852.62</v>
      </c>
      <c r="C182" s="1">
        <v>14519.37</v>
      </c>
      <c r="D182" s="1">
        <v>3047</v>
      </c>
      <c r="E182" s="1">
        <v>90.3</v>
      </c>
      <c r="F182">
        <f>IF(G182="East",1,0)</f>
        <v>0</v>
      </c>
      <c r="G182" s="1" t="s">
        <v>27</v>
      </c>
      <c r="H182">
        <f>149038.0278+1.183033881*C182+33.94798174*D182+2804.165526*E182-16716.89105*F182</f>
        <v>522870.58180035499</v>
      </c>
      <c r="I182">
        <f>B182-H182</f>
        <v>5982.0381996450014</v>
      </c>
    </row>
    <row r="183" spans="1:9">
      <c r="A183" s="1" t="s">
        <v>81</v>
      </c>
      <c r="B183" s="1">
        <v>737070.18</v>
      </c>
      <c r="C183" s="1">
        <v>26248.1</v>
      </c>
      <c r="D183" s="1">
        <v>9314</v>
      </c>
      <c r="E183" s="1">
        <v>83.7</v>
      </c>
      <c r="F183">
        <f>IF(G183="East",1,0)</f>
        <v>0</v>
      </c>
      <c r="G183" s="1" t="s">
        <v>27</v>
      </c>
      <c r="H183">
        <f>149038.0278+1.183033881*C183+33.94798174*D183+2804.165526*E183-16716.89105*F183</f>
        <v>730990.5758644361</v>
      </c>
      <c r="I183">
        <f>B183-H183</f>
        <v>6079.6041355639463</v>
      </c>
    </row>
    <row r="184" spans="1:9">
      <c r="A184" s="1" t="s">
        <v>86</v>
      </c>
      <c r="B184" s="1">
        <v>746115.59</v>
      </c>
      <c r="C184" s="1">
        <v>44189.34</v>
      </c>
      <c r="D184" s="1">
        <v>8634</v>
      </c>
      <c r="E184" s="1">
        <v>87.5</v>
      </c>
      <c r="F184">
        <f>IF(G184="East",1,0)</f>
        <v>0</v>
      </c>
      <c r="G184" s="1" t="s">
        <v>24</v>
      </c>
      <c r="H184">
        <f>149038.0278+1.183033881*C184+33.94798174*D184+2804.165526*E184-16716.89105*F184</f>
        <v>739786.87206718861</v>
      </c>
      <c r="I184">
        <f>B184-H184</f>
        <v>6328.7179328113561</v>
      </c>
    </row>
    <row r="185" spans="1:9">
      <c r="A185" s="1" t="s">
        <v>40</v>
      </c>
      <c r="B185" s="1">
        <v>616069.41</v>
      </c>
      <c r="C185" s="1">
        <v>46201.46</v>
      </c>
      <c r="D185" s="1">
        <v>5918</v>
      </c>
      <c r="E185" s="1">
        <v>78.8</v>
      </c>
      <c r="F185">
        <f>IF(G185="East",1,0)</f>
        <v>1</v>
      </c>
      <c r="G185" s="1" t="s">
        <v>15</v>
      </c>
      <c r="H185">
        <f>149038.0278+1.183033881*C185+33.94798174*D185+2804.165526*E185-16716.89105*F185</f>
        <v>608851.4286677863</v>
      </c>
      <c r="I185">
        <f>B185-H185</f>
        <v>7217.9813322137343</v>
      </c>
    </row>
    <row r="186" spans="1:9">
      <c r="A186" s="1" t="s">
        <v>56</v>
      </c>
      <c r="B186" s="1">
        <v>646559.71</v>
      </c>
      <c r="C186" s="1">
        <v>44211.95</v>
      </c>
      <c r="D186" s="1">
        <v>5465</v>
      </c>
      <c r="E186" s="1">
        <v>90</v>
      </c>
      <c r="F186">
        <f>IF(G186="East",1,0)</f>
        <v>0</v>
      </c>
      <c r="G186" s="1" t="s">
        <v>24</v>
      </c>
      <c r="H186">
        <f>149038.0278+1.183033881*C186+33.94798174*D186+2804.165526*E186-16716.89105*F186</f>
        <v>639242.88014417805</v>
      </c>
      <c r="I186">
        <f>B186-H186</f>
        <v>7316.8298558219103</v>
      </c>
    </row>
    <row r="187" spans="1:9">
      <c r="A187" s="1" t="s">
        <v>34</v>
      </c>
      <c r="B187" s="1">
        <v>603297.56999999995</v>
      </c>
      <c r="C187" s="1">
        <v>49710.29</v>
      </c>
      <c r="D187" s="1">
        <v>5559</v>
      </c>
      <c r="E187" s="1">
        <v>71</v>
      </c>
      <c r="F187">
        <f>IF(G187="East",1,0)</f>
        <v>0</v>
      </c>
      <c r="G187" s="1" t="s">
        <v>20</v>
      </c>
      <c r="H187">
        <f>149038.0278+1.183033881*C187+33.94798174*D187+2804.165526*E187-16716.89105*F187</f>
        <v>595659.56794299558</v>
      </c>
      <c r="I187">
        <f>B187-H187</f>
        <v>7638.0020570043707</v>
      </c>
    </row>
    <row r="188" spans="1:9">
      <c r="A188" s="1" t="s">
        <v>95</v>
      </c>
      <c r="B188" s="1">
        <v>533121.26</v>
      </c>
      <c r="C188" s="1">
        <v>40102.879999999997</v>
      </c>
      <c r="D188" s="1">
        <v>2358</v>
      </c>
      <c r="E188" s="1">
        <v>88.7</v>
      </c>
      <c r="F188">
        <f>IF(G188="East",1,0)</f>
        <v>0</v>
      </c>
      <c r="G188" s="1" t="s">
        <v>27</v>
      </c>
      <c r="H188">
        <f>149038.0278+1.183033881*C188+33.94798174*D188+2804.165526*E188-16716.89105*F188</f>
        <v>525259.91666479735</v>
      </c>
      <c r="I188">
        <f>B188-H188</f>
        <v>7861.3433352026623</v>
      </c>
    </row>
    <row r="189" spans="1:9">
      <c r="A189" s="1" t="s">
        <v>84</v>
      </c>
      <c r="B189" s="1">
        <v>606783.67000000004</v>
      </c>
      <c r="C189" s="1">
        <v>40923.67</v>
      </c>
      <c r="D189" s="1">
        <v>3875</v>
      </c>
      <c r="E189" s="1">
        <v>96.1</v>
      </c>
      <c r="F189">
        <f>IF(G189="East",1,0)</f>
        <v>0</v>
      </c>
      <c r="G189" s="1" t="s">
        <v>20</v>
      </c>
      <c r="H189">
        <f>149038.0278+1.183033881*C189+33.94798174*D189+2804.165526*E189-16716.89105*F189</f>
        <v>598480.85223596334</v>
      </c>
      <c r="I189">
        <f>B189-H189</f>
        <v>8302.8177640367066</v>
      </c>
    </row>
    <row r="190" spans="1:9">
      <c r="A190" s="1" t="s">
        <v>63</v>
      </c>
      <c r="B190" s="1">
        <v>820729.29</v>
      </c>
      <c r="C190" s="1">
        <v>78432.14</v>
      </c>
      <c r="D190" s="1">
        <v>9440</v>
      </c>
      <c r="E190" s="1">
        <v>89.2</v>
      </c>
      <c r="F190">
        <f>IF(G190="East",1,0)</f>
        <v>0</v>
      </c>
      <c r="G190" s="1" t="s">
        <v>20</v>
      </c>
      <c r="H190">
        <f>149038.0278+1.183033881*C190+33.94798174*D190+2804.165526*E190-16716.89105*F190</f>
        <v>812426.41932413541</v>
      </c>
      <c r="I190">
        <f>B190-H190</f>
        <v>8302.8706758646294</v>
      </c>
    </row>
    <row r="191" spans="1:9">
      <c r="A191" s="1" t="s">
        <v>26</v>
      </c>
      <c r="B191" s="1">
        <v>701641.97</v>
      </c>
      <c r="C191" s="1">
        <v>52715.1</v>
      </c>
      <c r="D191" s="1">
        <v>7223</v>
      </c>
      <c r="E191" s="1">
        <v>84.2</v>
      </c>
      <c r="F191">
        <f>IF(G191="East",1,0)</f>
        <v>0</v>
      </c>
      <c r="G191" s="1" t="s">
        <v>27</v>
      </c>
      <c r="H191">
        <f>149038.0278+1.183033881*C191+33.94798174*D191+2804.165526*E191-16716.89105*F191</f>
        <v>692718.78653752315</v>
      </c>
      <c r="I191">
        <f>B191-H191</f>
        <v>8923.1834624768235</v>
      </c>
    </row>
    <row r="192" spans="1:9">
      <c r="A192" s="1" t="s">
        <v>65</v>
      </c>
      <c r="B192" s="1">
        <v>780344.18</v>
      </c>
      <c r="C192" s="1">
        <v>65237.79</v>
      </c>
      <c r="D192" s="1">
        <v>8741</v>
      </c>
      <c r="E192" s="1">
        <v>94.4</v>
      </c>
      <c r="F192">
        <f>IF(G192="East",1,0)</f>
        <v>1</v>
      </c>
      <c r="G192" s="1" t="s">
        <v>15</v>
      </c>
      <c r="H192">
        <f>149038.0278+1.183033881*C192+33.94798174*D192+2804.165526*E192-16716.89105*F192</f>
        <v>770952.18668530299</v>
      </c>
      <c r="I192">
        <f>B192-H192</f>
        <v>9391.9933146970579</v>
      </c>
    </row>
    <row r="193" spans="1:9">
      <c r="A193" s="1" t="s">
        <v>76</v>
      </c>
      <c r="B193" s="1">
        <v>606278.30000000005</v>
      </c>
      <c r="C193" s="1">
        <v>16451.849999999999</v>
      </c>
      <c r="D193" s="1">
        <v>4678</v>
      </c>
      <c r="E193" s="1">
        <v>95.9</v>
      </c>
      <c r="F193">
        <f>IF(G193="East",1,0)</f>
        <v>0</v>
      </c>
      <c r="G193" s="1" t="s">
        <v>20</v>
      </c>
      <c r="H193">
        <f>149038.0278+1.183033881*C193+33.94798174*D193+2804.165526*E193-16716.89105*F193</f>
        <v>596229.2562782499</v>
      </c>
      <c r="I193">
        <f>B193-H193</f>
        <v>10049.043721750146</v>
      </c>
    </row>
    <row r="194" spans="1:9">
      <c r="A194" s="1" t="s">
        <v>100</v>
      </c>
      <c r="B194" s="1">
        <v>712375.77</v>
      </c>
      <c r="C194" s="1">
        <v>62507.16</v>
      </c>
      <c r="D194" s="1">
        <v>6000</v>
      </c>
      <c r="E194" s="1">
        <v>98.2</v>
      </c>
      <c r="F194">
        <f>IF(G194="East",1,0)</f>
        <v>0</v>
      </c>
      <c r="G194" s="1" t="s">
        <v>20</v>
      </c>
      <c r="H194">
        <f>149038.0278+1.183033881*C194+33.94798174*D194+2804.165526*E194-16716.89105*F194</f>
        <v>702043.06097828806</v>
      </c>
      <c r="I194">
        <f>B194-H194</f>
        <v>10332.709021711955</v>
      </c>
    </row>
    <row r="195" spans="1:9">
      <c r="A195" s="1" t="s">
        <v>100</v>
      </c>
      <c r="B195" s="1">
        <v>702052.47</v>
      </c>
      <c r="C195" s="1">
        <v>78967.520000000004</v>
      </c>
      <c r="D195" s="1">
        <v>6164</v>
      </c>
      <c r="E195" s="1">
        <v>85.5</v>
      </c>
      <c r="F195">
        <f>IF(G195="East",1,0)</f>
        <v>0</v>
      </c>
      <c r="G195" s="1" t="s">
        <v>20</v>
      </c>
      <c r="H195">
        <f>149038.0278+1.183033881*C195+33.94798174*D195+2804.165526*E195-16716.89105*F195</f>
        <v>691470.79137690517</v>
      </c>
      <c r="I195">
        <f>B195-H195</f>
        <v>10581.678623094806</v>
      </c>
    </row>
    <row r="196" spans="1:9">
      <c r="A196" s="1" t="s">
        <v>84</v>
      </c>
      <c r="B196" s="1">
        <v>729440.45</v>
      </c>
      <c r="C196" s="1">
        <v>97480.94</v>
      </c>
      <c r="D196" s="1">
        <v>6840</v>
      </c>
      <c r="E196" s="1">
        <v>79.2</v>
      </c>
      <c r="F196">
        <f>IF(G196="East",1,0)</f>
        <v>0</v>
      </c>
      <c r="G196" s="1" t="s">
        <v>20</v>
      </c>
      <c r="H196">
        <f>149038.0278+1.183033881*C196+33.94798174*D196+2804.165526*E196-16716.89105*F196</f>
        <v>718655.38733252825</v>
      </c>
      <c r="I196">
        <f>B196-H196</f>
        <v>10785.062667471706</v>
      </c>
    </row>
    <row r="197" spans="1:9">
      <c r="A197" s="1" t="s">
        <v>85</v>
      </c>
      <c r="B197" s="1">
        <v>764949</v>
      </c>
      <c r="C197" s="1">
        <v>81801.8</v>
      </c>
      <c r="D197" s="1">
        <v>6782</v>
      </c>
      <c r="E197" s="1">
        <v>99</v>
      </c>
      <c r="F197">
        <f>IF(G197="East",1,0)</f>
        <v>0</v>
      </c>
      <c r="G197" s="1" t="s">
        <v>24</v>
      </c>
      <c r="H197">
        <f>149038.0278+1.183033881*C197+33.94798174*D197+2804.165526*E197-16716.89105*F197</f>
        <v>753659.9279614659</v>
      </c>
      <c r="I197">
        <f>B197-H197</f>
        <v>11289.072038534097</v>
      </c>
    </row>
    <row r="198" spans="1:9">
      <c r="A198" s="1" t="s">
        <v>101</v>
      </c>
      <c r="B198" s="1">
        <v>536845.42000000004</v>
      </c>
      <c r="C198" s="1">
        <v>24088.06</v>
      </c>
      <c r="D198" s="1">
        <v>3466</v>
      </c>
      <c r="E198" s="1">
        <v>88</v>
      </c>
      <c r="F198">
        <f>IF(G198="East",1,0)</f>
        <v>1</v>
      </c>
      <c r="G198" s="1" t="s">
        <v>15</v>
      </c>
      <c r="H198">
        <f>149038.0278+1.183033881*C198+33.94798174*D198+2804.165526*E198-16716.89105*F198</f>
        <v>525248.39885640098</v>
      </c>
      <c r="I198">
        <f>B198-H198</f>
        <v>11597.021143599064</v>
      </c>
    </row>
    <row r="199" spans="1:9">
      <c r="A199" s="1" t="s">
        <v>82</v>
      </c>
      <c r="B199" s="1">
        <v>763159.92</v>
      </c>
      <c r="C199" s="1">
        <v>53546.34</v>
      </c>
      <c r="D199" s="1">
        <v>8004</v>
      </c>
      <c r="E199" s="1">
        <v>95.2</v>
      </c>
      <c r="F199">
        <f>IF(G199="East",1,0)</f>
        <v>0</v>
      </c>
      <c r="G199" s="1" t="s">
        <v>24</v>
      </c>
      <c r="H199">
        <f>149038.0278+1.183033881*C199+33.94798174*D199+2804.165526*E199-16716.89105*F199</f>
        <v>751061.36614570557</v>
      </c>
      <c r="I199">
        <f>B199-H199</f>
        <v>12098.553854294471</v>
      </c>
    </row>
    <row r="200" spans="1:9">
      <c r="A200" s="1" t="s">
        <v>59</v>
      </c>
      <c r="B200" s="1">
        <v>712868.35</v>
      </c>
      <c r="C200" s="1">
        <v>43319.94</v>
      </c>
      <c r="D200" s="1">
        <v>6551</v>
      </c>
      <c r="E200" s="1">
        <v>99</v>
      </c>
      <c r="F200">
        <f>IF(G200="East",1,0)</f>
        <v>0</v>
      </c>
      <c r="G200" s="1" t="s">
        <v>24</v>
      </c>
      <c r="H200">
        <f>149038.0278+1.183033881*C200+33.94798174*D200+2804.165526*E200-16716.89105*F200</f>
        <v>700292.5999956273</v>
      </c>
      <c r="I200">
        <f>B200-H200</f>
        <v>12575.750004372676</v>
      </c>
    </row>
    <row r="201" spans="1:9">
      <c r="A201" s="1" t="s">
        <v>83</v>
      </c>
      <c r="B201" s="1">
        <v>750471.34</v>
      </c>
      <c r="C201" s="1">
        <v>48060.78</v>
      </c>
      <c r="D201" s="1">
        <v>8733</v>
      </c>
      <c r="E201" s="1">
        <v>89.9</v>
      </c>
      <c r="F201">
        <f>IF(G201="East",1,0)</f>
        <v>1</v>
      </c>
      <c r="G201" s="1" t="s">
        <v>15</v>
      </c>
      <c r="H201">
        <f>149038.0278+1.183033881*C201+33.94798174*D201+2804.165526*E201-16716.89105*F201</f>
        <v>737740.87316010729</v>
      </c>
      <c r="I201">
        <f>B201-H201</f>
        <v>12730.466839892673</v>
      </c>
    </row>
    <row r="202" spans="1:9">
      <c r="A202" s="1" t="s">
        <v>25</v>
      </c>
      <c r="B202" s="1">
        <v>555929.4</v>
      </c>
      <c r="C202" s="1">
        <v>42267.37</v>
      </c>
      <c r="D202" s="1">
        <v>3364</v>
      </c>
      <c r="E202" s="1">
        <v>82</v>
      </c>
      <c r="F202">
        <f>IF(G202="East",1,0)</f>
        <v>0</v>
      </c>
      <c r="G202" s="1" t="s">
        <v>20</v>
      </c>
      <c r="H202">
        <f>149038.0278+1.183033881*C202+33.94798174*D202+2804.165526*E202-16716.89105*F202</f>
        <v>543184.342276123</v>
      </c>
      <c r="I202">
        <f>B202-H202</f>
        <v>12745.05772387702</v>
      </c>
    </row>
    <row r="203" spans="1:9">
      <c r="A203" s="1" t="s">
        <v>100</v>
      </c>
      <c r="B203" s="1">
        <v>844710.67</v>
      </c>
      <c r="C203" s="1">
        <v>66456.28</v>
      </c>
      <c r="D203" s="1">
        <v>9967</v>
      </c>
      <c r="E203" s="1">
        <v>94.7</v>
      </c>
      <c r="F203">
        <f>IF(G203="East",1,0)</f>
        <v>0</v>
      </c>
      <c r="G203" s="1" t="s">
        <v>20</v>
      </c>
      <c r="H203">
        <f>149038.0278+1.183033881*C203+33.94798174*D203+2804.165526*E203-16716.89105*F203</f>
        <v>831572.06796000281</v>
      </c>
      <c r="I203">
        <f>B203-H203</f>
        <v>13138.602039997233</v>
      </c>
    </row>
    <row r="204" spans="1:9">
      <c r="A204" s="1" t="s">
        <v>39</v>
      </c>
      <c r="B204" s="1">
        <v>605023.87</v>
      </c>
      <c r="C204" s="1">
        <v>60571.82</v>
      </c>
      <c r="D204" s="1">
        <v>3193</v>
      </c>
      <c r="E204" s="1">
        <v>99</v>
      </c>
      <c r="F204">
        <f>IF(G204="East",1,0)</f>
        <v>1</v>
      </c>
      <c r="G204" s="1" t="s">
        <v>15</v>
      </c>
      <c r="H204">
        <f>149038.0278+1.183033881*C204+33.94798174*D204+2804.165526*E204-16716.89105*F204</f>
        <v>589987.94481365348</v>
      </c>
      <c r="I204">
        <f>B204-H204</f>
        <v>15035.925186346518</v>
      </c>
    </row>
    <row r="205" spans="1:9">
      <c r="A205" s="1" t="s">
        <v>77</v>
      </c>
      <c r="B205" s="1">
        <v>712219.81</v>
      </c>
      <c r="C205" s="1">
        <v>53367.73</v>
      </c>
      <c r="D205" s="1">
        <v>7291</v>
      </c>
      <c r="E205" s="1">
        <v>90.6</v>
      </c>
      <c r="F205">
        <f>IF(G205="East",1,0)</f>
        <v>1</v>
      </c>
      <c r="G205" s="1" t="s">
        <v>15</v>
      </c>
      <c r="H205">
        <f>149038.0278+1.183033881*C205+33.94798174*D205+2804.165526*E205-16716.89105*F205</f>
        <v>697029.10101400013</v>
      </c>
      <c r="I205">
        <f>B205-H205</f>
        <v>15190.708985999925</v>
      </c>
    </row>
    <row r="206" spans="1:9">
      <c r="A206" s="1" t="s">
        <v>74</v>
      </c>
      <c r="B206" s="1">
        <v>810446.53</v>
      </c>
      <c r="C206" s="1">
        <v>63457.19</v>
      </c>
      <c r="D206" s="1">
        <v>10125</v>
      </c>
      <c r="E206" s="1">
        <v>87</v>
      </c>
      <c r="F206">
        <f>IF(G206="East",1,0)</f>
        <v>1</v>
      </c>
      <c r="G206" s="1" t="s">
        <v>15</v>
      </c>
      <c r="H206">
        <f>149038.0278+1.183033881*C206+33.94798174*D206+2804.165526*E206-16716.89105*F206</f>
        <v>795078.85839255445</v>
      </c>
      <c r="I206">
        <f>B206-H206</f>
        <v>15367.671607445576</v>
      </c>
    </row>
    <row r="207" spans="1:9">
      <c r="A207" s="1" t="s">
        <v>43</v>
      </c>
      <c r="B207" s="1">
        <v>574436.29</v>
      </c>
      <c r="C207" s="1">
        <v>55388.11</v>
      </c>
      <c r="D207" s="1">
        <v>3091</v>
      </c>
      <c r="E207" s="1">
        <v>85.4</v>
      </c>
      <c r="F207">
        <f>IF(G207="East",1,0)</f>
        <v>0</v>
      </c>
      <c r="G207" s="1" t="s">
        <v>27</v>
      </c>
      <c r="H207">
        <f>149038.0278+1.183033881*C207+33.94798174*D207+2804.165526*E207-16716.89105*F207</f>
        <v>558972.98601329501</v>
      </c>
      <c r="I207">
        <f>B207-H207</f>
        <v>15463.303986705025</v>
      </c>
    </row>
    <row r="208" spans="1:9">
      <c r="A208" s="1" t="s">
        <v>82</v>
      </c>
      <c r="B208" s="1">
        <v>828219.67</v>
      </c>
      <c r="C208" s="1">
        <v>70799.64</v>
      </c>
      <c r="D208" s="1">
        <v>10076</v>
      </c>
      <c r="E208" s="1">
        <v>84.8</v>
      </c>
      <c r="F208">
        <f>IF(G208="East",1,0)</f>
        <v>0</v>
      </c>
      <c r="G208" s="1" t="s">
        <v>24</v>
      </c>
      <c r="H208">
        <f>149038.0278+1.183033881*C208+33.94798174*D208+2804.165526*E208-16716.89105*F208</f>
        <v>812649.50129964284</v>
      </c>
      <c r="I208">
        <f>B208-H208</f>
        <v>15570.168700357201</v>
      </c>
    </row>
    <row r="209" spans="1:9">
      <c r="A209" s="1" t="s">
        <v>68</v>
      </c>
      <c r="B209" s="1">
        <v>678311.17</v>
      </c>
      <c r="C209" s="1">
        <v>57147.88</v>
      </c>
      <c r="D209" s="1">
        <v>5252</v>
      </c>
      <c r="E209" s="1">
        <v>95.5</v>
      </c>
      <c r="F209">
        <f>IF(G209="East",1,0)</f>
        <v>0</v>
      </c>
      <c r="G209" s="1" t="s">
        <v>20</v>
      </c>
      <c r="H209">
        <f>149038.0278+1.183033881*C209+33.94798174*D209+2804.165526*E209-16716.89105*F209</f>
        <v>662738.51389880234</v>
      </c>
      <c r="I209">
        <f>B209-H209</f>
        <v>15572.656101197703</v>
      </c>
    </row>
    <row r="210" spans="1:9">
      <c r="A210" s="1" t="s">
        <v>36</v>
      </c>
      <c r="B210" s="1">
        <v>518049.26</v>
      </c>
      <c r="C210" s="1">
        <v>19365.060000000001</v>
      </c>
      <c r="D210" s="1">
        <v>2378</v>
      </c>
      <c r="E210" s="1">
        <v>94.8</v>
      </c>
      <c r="F210">
        <f>IF(G210="East",1,0)</f>
        <v>1</v>
      </c>
      <c r="G210" s="1" t="s">
        <v>15</v>
      </c>
      <c r="H210">
        <f>149038.0278+1.183033881*C210+33.94798174*D210+2804.165526*E210-16716.89105*F210</f>
        <v>501793.85128011793</v>
      </c>
      <c r="I210">
        <f>B210-H210</f>
        <v>16255.408719882078</v>
      </c>
    </row>
    <row r="211" spans="1:9">
      <c r="A211" s="1" t="s">
        <v>57</v>
      </c>
      <c r="B211" s="1">
        <v>695098.51</v>
      </c>
      <c r="C211" s="1">
        <v>50198.12</v>
      </c>
      <c r="D211" s="1">
        <v>6089</v>
      </c>
      <c r="E211" s="1">
        <v>94</v>
      </c>
      <c r="F211">
        <f>IF(G211="East",1,0)</f>
        <v>0</v>
      </c>
      <c r="G211" s="1" t="s">
        <v>27</v>
      </c>
      <c r="H211">
        <f>149038.0278+1.183033881*C211+33.94798174*D211+2804.165526*E211-16716.89105*F211</f>
        <v>678724.92478136381</v>
      </c>
      <c r="I211">
        <f>B211-H211</f>
        <v>16373.585218636203</v>
      </c>
    </row>
    <row r="212" spans="1:9">
      <c r="A212" s="1" t="s">
        <v>99</v>
      </c>
      <c r="B212" s="1">
        <v>771129.07</v>
      </c>
      <c r="C212" s="1">
        <v>86026.58</v>
      </c>
      <c r="D212" s="1">
        <v>7479</v>
      </c>
      <c r="E212" s="1">
        <v>89</v>
      </c>
      <c r="F212">
        <f>IF(G212="East",1,0)</f>
        <v>0</v>
      </c>
      <c r="G212" s="1" t="s">
        <v>24</v>
      </c>
      <c r="H212">
        <f>149038.0278+1.183033881*C212+33.94798174*D212+2804.165526*E212-16716.89105*F212</f>
        <v>754278.07385401707</v>
      </c>
      <c r="I212">
        <f>B212-H212</f>
        <v>16850.996145982877</v>
      </c>
    </row>
    <row r="213" spans="1:9">
      <c r="A213" s="1" t="s">
        <v>78</v>
      </c>
      <c r="B213" s="1">
        <v>536545.49</v>
      </c>
      <c r="C213" s="1">
        <v>57225.98</v>
      </c>
      <c r="D213" s="1">
        <v>2842</v>
      </c>
      <c r="E213" s="1">
        <v>79.5</v>
      </c>
      <c r="F213">
        <f>IF(G213="East",1,0)</f>
        <v>1</v>
      </c>
      <c r="G213" s="1" t="s">
        <v>15</v>
      </c>
      <c r="H213">
        <f>149038.0278+1.183033881*C213+33.94798174*D213+2804.165526*E213-16716.89105*F213</f>
        <v>519432.73338550841</v>
      </c>
      <c r="I213">
        <f>B213-H213</f>
        <v>17112.756614491576</v>
      </c>
    </row>
    <row r="214" spans="1:9">
      <c r="A214" s="1" t="s">
        <v>60</v>
      </c>
      <c r="B214" s="1">
        <v>698492.67</v>
      </c>
      <c r="C214" s="1">
        <v>64374.75</v>
      </c>
      <c r="D214" s="1">
        <v>6740</v>
      </c>
      <c r="E214" s="1">
        <v>87</v>
      </c>
      <c r="F214">
        <f>IF(G214="East",1,0)</f>
        <v>1</v>
      </c>
      <c r="G214" s="1" t="s">
        <v>15</v>
      </c>
      <c r="H214">
        <f>149038.0278+1.183033881*C214+33.94798174*D214+2804.165526*E214-16716.89105*F214</f>
        <v>681250.44477050484</v>
      </c>
      <c r="I214">
        <f>B214-H214</f>
        <v>17242.225229495205</v>
      </c>
    </row>
    <row r="215" spans="1:9">
      <c r="A215" s="1" t="s">
        <v>69</v>
      </c>
      <c r="B215" s="1">
        <v>550962.93000000005</v>
      </c>
      <c r="C215" s="1">
        <v>55788.61</v>
      </c>
      <c r="D215" s="1">
        <v>2312</v>
      </c>
      <c r="E215" s="1">
        <v>91.3</v>
      </c>
      <c r="F215">
        <f>IF(G215="East",1,0)</f>
        <v>1</v>
      </c>
      <c r="G215" s="1" t="s">
        <v>15</v>
      </c>
      <c r="H215">
        <f>149038.0278+1.183033881*C215+33.94798174*D215+2804.165526*E215-16716.89105*F215</f>
        <v>532828.99886057549</v>
      </c>
      <c r="I215">
        <f>B215-H215</f>
        <v>18133.93113942456</v>
      </c>
    </row>
    <row r="216" spans="1:9">
      <c r="A216" s="1" t="s">
        <v>87</v>
      </c>
      <c r="B216" s="1">
        <v>636613.23</v>
      </c>
      <c r="C216" s="1">
        <v>58688.26</v>
      </c>
      <c r="D216" s="1">
        <v>4022</v>
      </c>
      <c r="E216" s="1">
        <v>93.8</v>
      </c>
      <c r="F216">
        <f>IF(G216="East",1,0)</f>
        <v>0</v>
      </c>
      <c r="G216" s="1" t="s">
        <v>27</v>
      </c>
      <c r="H216">
        <f>149038.0278+1.183033881*C216+33.94798174*D216+2804.165526*E216-16716.89105*F216</f>
        <v>618037.73669401708</v>
      </c>
      <c r="I216">
        <f>B216-H216</f>
        <v>18575.493305982905</v>
      </c>
    </row>
    <row r="217" spans="1:9">
      <c r="A217" s="1" t="s">
        <v>34</v>
      </c>
      <c r="B217" s="1">
        <v>625672.86</v>
      </c>
      <c r="C217" s="1">
        <v>48287.85</v>
      </c>
      <c r="D217" s="1">
        <v>5150</v>
      </c>
      <c r="E217" s="1">
        <v>80.400000000000006</v>
      </c>
      <c r="F217">
        <f>IF(G217="East",1,0)</f>
        <v>0</v>
      </c>
      <c r="G217" s="1" t="s">
        <v>20</v>
      </c>
      <c r="H217">
        <f>149038.0278+1.183033881*C217+33.94798174*D217+2804.165526*E217-16716.89105*F217</f>
        <v>606451.20464204589</v>
      </c>
      <c r="I217">
        <f>B217-H217</f>
        <v>19221.655357954092</v>
      </c>
    </row>
    <row r="218" spans="1:9">
      <c r="A218" s="1" t="s">
        <v>83</v>
      </c>
      <c r="B218" s="1">
        <v>802001.68</v>
      </c>
      <c r="C218" s="1">
        <v>76942.2</v>
      </c>
      <c r="D218" s="1">
        <v>8934</v>
      </c>
      <c r="E218" s="1">
        <v>91</v>
      </c>
      <c r="F218">
        <f>IF(G218="East",1,0)</f>
        <v>1</v>
      </c>
      <c r="G218" s="1" t="s">
        <v>15</v>
      </c>
      <c r="H218">
        <f>149038.0278+1.183033881*C218+33.94798174*D218+2804.165526*E218-16716.89105*F218</f>
        <v>781816.6979598382</v>
      </c>
      <c r="I218">
        <f>B218-H218</f>
        <v>20184.982040161849</v>
      </c>
    </row>
    <row r="219" spans="1:9">
      <c r="A219" s="1" t="s">
        <v>57</v>
      </c>
      <c r="B219" s="1">
        <v>715097.57</v>
      </c>
      <c r="C219" s="1">
        <v>45706.49</v>
      </c>
      <c r="D219" s="1">
        <v>6704</v>
      </c>
      <c r="E219" s="1">
        <v>94.2</v>
      </c>
      <c r="F219">
        <f>IF(G219="East",1,0)</f>
        <v>0</v>
      </c>
      <c r="G219" s="1" t="s">
        <v>27</v>
      </c>
      <c r="H219">
        <f>149038.0278+1.183033881*C219+33.94798174*D219+2804.165526*E219-16716.89105*F219</f>
        <v>694850.01618574769</v>
      </c>
      <c r="I219">
        <f>B219-H219</f>
        <v>20247.553814252256</v>
      </c>
    </row>
    <row r="220" spans="1:9">
      <c r="A220" s="1" t="s">
        <v>17</v>
      </c>
      <c r="B220" s="1">
        <v>806615.54</v>
      </c>
      <c r="C220" s="1">
        <v>46213.45</v>
      </c>
      <c r="D220" s="1">
        <v>10616</v>
      </c>
      <c r="E220" s="1">
        <v>85.2</v>
      </c>
      <c r="F220">
        <f>IF(G220="East",1,0)</f>
        <v>1</v>
      </c>
      <c r="G220" s="1" t="s">
        <v>15</v>
      </c>
      <c r="H220">
        <f>149038.0278+1.183033881*C220+33.94798174*D220+2804.165526*E220-16716.89105*F220</f>
        <v>786299.89082493947</v>
      </c>
      <c r="I220">
        <f>B220-H220</f>
        <v>20315.649175060564</v>
      </c>
    </row>
    <row r="221" spans="1:9">
      <c r="A221" s="1" t="s">
        <v>95</v>
      </c>
      <c r="B221" s="1">
        <v>487738.26</v>
      </c>
      <c r="C221" s="1">
        <v>27398.28</v>
      </c>
      <c r="D221" s="1">
        <v>1723</v>
      </c>
      <c r="E221" s="1">
        <v>81</v>
      </c>
      <c r="F221">
        <f>IF(G221="East",1,0)</f>
        <v>0</v>
      </c>
      <c r="G221" s="1" t="s">
        <v>27</v>
      </c>
      <c r="H221">
        <f>149038.0278+1.183033881*C221+33.94798174*D221+2804.165526*E221-16716.89105*F221</f>
        <v>467080.90146514471</v>
      </c>
      <c r="I221">
        <f>B221-H221</f>
        <v>20657.358534855302</v>
      </c>
    </row>
    <row r="222" spans="1:9">
      <c r="A222" s="1" t="s">
        <v>49</v>
      </c>
      <c r="B222" s="1">
        <v>664162.49</v>
      </c>
      <c r="C222" s="1">
        <v>69411.7</v>
      </c>
      <c r="D222" s="1">
        <v>5493</v>
      </c>
      <c r="E222" s="1">
        <v>86.5</v>
      </c>
      <c r="F222">
        <f>IF(G222="East",1,0)</f>
        <v>1</v>
      </c>
      <c r="G222" s="1" t="s">
        <v>15</v>
      </c>
      <c r="H222">
        <f>149038.0278+1.183033881*C222+33.94798174*D222+2804.165526*E222-16716.89105*F222</f>
        <v>643474.11128462781</v>
      </c>
      <c r="I222">
        <f>B222-H222</f>
        <v>20688.378715372179</v>
      </c>
    </row>
    <row r="223" spans="1:9">
      <c r="A223" s="1" t="s">
        <v>32</v>
      </c>
      <c r="B223" s="1">
        <v>592195.85</v>
      </c>
      <c r="C223" s="1">
        <v>40462.94</v>
      </c>
      <c r="D223" s="1">
        <v>3660</v>
      </c>
      <c r="E223" s="1">
        <v>95.2</v>
      </c>
      <c r="F223">
        <f>IF(G223="East",1,0)</f>
        <v>1</v>
      </c>
      <c r="G223" s="1" t="s">
        <v>15</v>
      </c>
      <c r="H223">
        <f>149038.0278+1.183033881*C223+33.94798174*D223+2804.165526*E223-16716.89105*F223</f>
        <v>571396.33693847014</v>
      </c>
      <c r="I223">
        <f>B223-H223</f>
        <v>20799.51306152984</v>
      </c>
    </row>
    <row r="224" spans="1:9">
      <c r="A224" s="1" t="s">
        <v>42</v>
      </c>
      <c r="B224" s="1">
        <v>569100.78</v>
      </c>
      <c r="C224" s="1">
        <v>36475.71</v>
      </c>
      <c r="D224" s="1">
        <v>3559</v>
      </c>
      <c r="E224" s="1">
        <v>83.6</v>
      </c>
      <c r="F224">
        <f>IF(G224="East",1,0)</f>
        <v>0</v>
      </c>
      <c r="G224" s="1" t="s">
        <v>27</v>
      </c>
      <c r="H224">
        <f>149038.0278+1.183033881*C224+33.94798174*D224+2804.165526*E224-16716.89105*F224</f>
        <v>547439.1335497906</v>
      </c>
      <c r="I224">
        <f>B224-H224</f>
        <v>21661.646450209431</v>
      </c>
    </row>
    <row r="225" spans="1:9">
      <c r="A225" s="1" t="s">
        <v>94</v>
      </c>
      <c r="B225" s="1">
        <v>729424.42</v>
      </c>
      <c r="C225" s="1">
        <v>70012.41</v>
      </c>
      <c r="D225" s="1">
        <v>8484</v>
      </c>
      <c r="E225" s="1">
        <v>72.900000000000006</v>
      </c>
      <c r="F225">
        <f>IF(G225="East",1,0)</f>
        <v>1</v>
      </c>
      <c r="G225" s="1" t="s">
        <v>15</v>
      </c>
      <c r="H225">
        <f>149038.0278+1.183033881*C225+33.94798174*D225+2804.165526*E225-16716.89105*F225</f>
        <v>707586.53379802324</v>
      </c>
      <c r="I225">
        <f>B225-H225</f>
        <v>21837.886201976798</v>
      </c>
    </row>
    <row r="226" spans="1:9">
      <c r="A226" s="1" t="s">
        <v>33</v>
      </c>
      <c r="B226" s="1">
        <v>614800.09</v>
      </c>
      <c r="C226" s="1">
        <v>50043.65</v>
      </c>
      <c r="D226" s="1">
        <v>3804</v>
      </c>
      <c r="E226" s="1">
        <v>90.9</v>
      </c>
      <c r="F226">
        <f>IF(G226="East",1,0)</f>
        <v>0</v>
      </c>
      <c r="G226" s="1" t="s">
        <v>27</v>
      </c>
      <c r="H226">
        <f>149038.0278+1.183033881*C226+33.94798174*D226+2804.165526*E226-16716.89105*F226</f>
        <v>592278.13013126573</v>
      </c>
      <c r="I226">
        <f>B226-H226</f>
        <v>22521.959868734237</v>
      </c>
    </row>
    <row r="227" spans="1:9">
      <c r="A227" s="1" t="s">
        <v>92</v>
      </c>
      <c r="B227" s="1">
        <v>714083.68</v>
      </c>
      <c r="C227" s="1">
        <v>66104.19</v>
      </c>
      <c r="D227" s="1">
        <v>5745</v>
      </c>
      <c r="E227" s="1">
        <v>95.8</v>
      </c>
      <c r="F227">
        <f>IF(G227="East",1,0)</f>
        <v>0</v>
      </c>
      <c r="G227" s="1" t="s">
        <v>24</v>
      </c>
      <c r="H227">
        <f>149038.0278+1.183033881*C227+33.94798174*D227+2804.165526*E227-16716.89105*F227</f>
        <v>690911.73673316138</v>
      </c>
      <c r="I227">
        <f>B227-H227</f>
        <v>23171.943266838673</v>
      </c>
    </row>
    <row r="228" spans="1:9">
      <c r="A228" s="1" t="s">
        <v>56</v>
      </c>
      <c r="B228" s="1">
        <v>743348.84</v>
      </c>
      <c r="C228" s="1">
        <v>75109.67</v>
      </c>
      <c r="D228" s="1">
        <v>6244</v>
      </c>
      <c r="E228" s="1">
        <v>96.3</v>
      </c>
      <c r="F228">
        <f>IF(G228="East",1,0)</f>
        <v>0</v>
      </c>
      <c r="G228" s="1" t="s">
        <v>24</v>
      </c>
      <c r="H228">
        <f>149038.0278+1.183033881*C228+33.94798174*D228+2804.165526*E228-16716.89105*F228</f>
        <v>719907.65033908933</v>
      </c>
      <c r="I228">
        <f>B228-H228</f>
        <v>23441.189660910633</v>
      </c>
    </row>
    <row r="229" spans="1:9">
      <c r="A229" s="1" t="s">
        <v>66</v>
      </c>
      <c r="B229" s="1">
        <v>887537.75</v>
      </c>
      <c r="C229" s="1">
        <v>67494.09</v>
      </c>
      <c r="D229" s="1">
        <v>12361</v>
      </c>
      <c r="E229" s="1">
        <v>76.599999999999994</v>
      </c>
      <c r="F229">
        <f>IF(G229="East",1,0)</f>
        <v>0</v>
      </c>
      <c r="G229" s="1" t="s">
        <v>27</v>
      </c>
      <c r="H229">
        <f>149038.0278+1.183033881*C229+33.94798174*D229+2804.165526*E229-16716.89105*F229</f>
        <v>863315.9046170034</v>
      </c>
      <c r="I229">
        <f>B229-H229</f>
        <v>24221.845382996602</v>
      </c>
    </row>
    <row r="230" spans="1:9">
      <c r="A230" s="1" t="s">
        <v>32</v>
      </c>
      <c r="B230" s="1">
        <v>532644.46</v>
      </c>
      <c r="C230" s="1">
        <v>46123.88</v>
      </c>
      <c r="D230" s="1">
        <v>3227</v>
      </c>
      <c r="E230" s="1">
        <v>75.400000000000006</v>
      </c>
      <c r="F230">
        <f>IF(G230="East",1,0)</f>
        <v>1</v>
      </c>
      <c r="G230" s="1" t="s">
        <v>15</v>
      </c>
      <c r="H230">
        <f>149038.0278+1.183033881*C230+33.94798174*D230+2804.165526*E230-16716.89105*F230</f>
        <v>507871.4672485583</v>
      </c>
      <c r="I230">
        <f>B230-H230</f>
        <v>24772.992751441663</v>
      </c>
    </row>
    <row r="231" spans="1:9">
      <c r="A231" s="1" t="s">
        <v>91</v>
      </c>
      <c r="B231" s="1">
        <v>738548.42</v>
      </c>
      <c r="C231" s="1">
        <v>36832.33</v>
      </c>
      <c r="D231" s="1">
        <v>8001</v>
      </c>
      <c r="E231" s="1">
        <v>88.7</v>
      </c>
      <c r="F231">
        <f>IF(G231="East",1,0)</f>
        <v>0</v>
      </c>
      <c r="G231" s="1" t="s">
        <v>24</v>
      </c>
      <c r="H231">
        <f>149038.0278+1.183033881*C231+33.94798174*D231+2804.165526*E231-16716.89105*F231</f>
        <v>712959.20616411278</v>
      </c>
      <c r="I231">
        <f>B231-H231</f>
        <v>25589.213835887262</v>
      </c>
    </row>
    <row r="232" spans="1:9">
      <c r="A232" s="1" t="s">
        <v>86</v>
      </c>
      <c r="B232" s="1">
        <v>697888.09</v>
      </c>
      <c r="C232" s="1">
        <v>28670.43</v>
      </c>
      <c r="D232" s="1">
        <v>7574</v>
      </c>
      <c r="E232" s="1">
        <v>82.7</v>
      </c>
      <c r="F232">
        <f>IF(G232="East",1,0)</f>
        <v>0</v>
      </c>
      <c r="G232" s="1" t="s">
        <v>24</v>
      </c>
      <c r="H232">
        <f>149038.0278+1.183033881*C232+33.94798174*D232+2804.165526*E232-16716.89105*F232</f>
        <v>671982.62057179888</v>
      </c>
      <c r="I232">
        <f>B232-H232</f>
        <v>25905.46942820109</v>
      </c>
    </row>
    <row r="233" spans="1:9">
      <c r="A233" s="1" t="s">
        <v>32</v>
      </c>
      <c r="B233" s="1">
        <v>605178</v>
      </c>
      <c r="C233" s="1">
        <v>64882.14</v>
      </c>
      <c r="D233" s="1">
        <v>3642</v>
      </c>
      <c r="E233" s="1">
        <v>87.8</v>
      </c>
      <c r="F233">
        <f>IF(G233="East",1,0)</f>
        <v>1</v>
      </c>
      <c r="G233" s="1" t="s">
        <v>15</v>
      </c>
      <c r="H233">
        <f>149038.0278+1.183033881*C233+33.94798174*D233+2804.165526*E233-16716.89105*F233</f>
        <v>578923.18932166533</v>
      </c>
      <c r="I233">
        <f>B233-H233</f>
        <v>26254.810678334674</v>
      </c>
    </row>
    <row r="234" spans="1:9">
      <c r="A234" s="1" t="s">
        <v>46</v>
      </c>
      <c r="B234" s="1">
        <v>675177.68</v>
      </c>
      <c r="C234" s="1">
        <v>55101.1</v>
      </c>
      <c r="D234" s="1">
        <v>5281</v>
      </c>
      <c r="E234" s="1">
        <v>91</v>
      </c>
      <c r="F234">
        <f>IF(G234="East",1,0)</f>
        <v>0</v>
      </c>
      <c r="G234" s="1" t="s">
        <v>27</v>
      </c>
      <c r="H234">
        <f>149038.0278+1.183033881*C234+33.94798174*D234+2804.165526*E234-16716.89105*F234</f>
        <v>648682.85041530908</v>
      </c>
      <c r="I234">
        <f>B234-H234</f>
        <v>26494.829584690975</v>
      </c>
    </row>
    <row r="235" spans="1:9">
      <c r="A235" s="1" t="s">
        <v>22</v>
      </c>
      <c r="B235" s="1">
        <v>834017.02</v>
      </c>
      <c r="C235" s="1">
        <v>75305.710000000006</v>
      </c>
      <c r="D235" s="1">
        <v>10940</v>
      </c>
      <c r="E235" s="1">
        <v>76.5</v>
      </c>
      <c r="F235">
        <f>IF(G235="East",1,0)</f>
        <v>1</v>
      </c>
      <c r="G235" s="1" t="s">
        <v>15</v>
      </c>
      <c r="H235">
        <f>149038.0278+1.183033881*C235+33.94798174*D235+2804.165526*E235-16716.89105*F235</f>
        <v>807319.9260873606</v>
      </c>
      <c r="I235">
        <f>B235-H235</f>
        <v>26697.093912639422</v>
      </c>
    </row>
    <row r="236" spans="1:9">
      <c r="A236" s="1" t="s">
        <v>59</v>
      </c>
      <c r="B236" s="1">
        <v>725847.99</v>
      </c>
      <c r="C236" s="1">
        <v>71855.09</v>
      </c>
      <c r="D236" s="1">
        <v>5911</v>
      </c>
      <c r="E236" s="1">
        <v>94.3</v>
      </c>
      <c r="F236">
        <f>IF(G236="East",1,0)</f>
        <v>0</v>
      </c>
      <c r="G236" s="1" t="s">
        <v>24</v>
      </c>
      <c r="H236">
        <f>149038.0278+1.183033881*C236+33.94798174*D236+2804.165526*E236-16716.89105*F236</f>
        <v>699144.36295924429</v>
      </c>
      <c r="I236">
        <f>B236-H236</f>
        <v>26703.627040755702</v>
      </c>
    </row>
    <row r="237" spans="1:9">
      <c r="A237" s="1" t="s">
        <v>98</v>
      </c>
      <c r="B237" s="1">
        <v>727957.48</v>
      </c>
      <c r="C237" s="1">
        <v>54948.02</v>
      </c>
      <c r="D237" s="1">
        <v>6534</v>
      </c>
      <c r="E237" s="1">
        <v>94.5</v>
      </c>
      <c r="F237">
        <f>IF(G237="East",1,0)</f>
        <v>0</v>
      </c>
      <c r="G237" s="1" t="s">
        <v>24</v>
      </c>
      <c r="H237">
        <f>149038.0278+1.183033881*C237+33.94798174*D237+2804.165526*E237-16716.89105*F237</f>
        <v>700853.15205002564</v>
      </c>
      <c r="I237">
        <f>B237-H237</f>
        <v>27104.327949974337</v>
      </c>
    </row>
    <row r="238" spans="1:9">
      <c r="A238" s="1" t="s">
        <v>76</v>
      </c>
      <c r="B238" s="1">
        <v>674289.1</v>
      </c>
      <c r="C238" s="1">
        <v>69180.539999999994</v>
      </c>
      <c r="D238" s="1">
        <v>5394</v>
      </c>
      <c r="E238" s="1">
        <v>82.9</v>
      </c>
      <c r="F238">
        <f>IF(G238="East",1,0)</f>
        <v>0</v>
      </c>
      <c r="G238" s="1" t="s">
        <v>20</v>
      </c>
      <c r="H238">
        <f>149038.0278+1.183033881*C238+33.94798174*D238+2804.165526*E238-16716.89105*F238</f>
        <v>646461.68613683572</v>
      </c>
      <c r="I238">
        <f>B238-H238</f>
        <v>27827.413863164256</v>
      </c>
    </row>
    <row r="239" spans="1:9">
      <c r="A239" s="1" t="s">
        <v>88</v>
      </c>
      <c r="B239" s="1">
        <v>745580.51</v>
      </c>
      <c r="C239" s="1">
        <v>56602.39</v>
      </c>
      <c r="D239" s="1">
        <v>7969</v>
      </c>
      <c r="E239" s="1">
        <v>88.3</v>
      </c>
      <c r="F239">
        <f>IF(G239="East",1,0)</f>
        <v>1</v>
      </c>
      <c r="G239" s="1" t="s">
        <v>15</v>
      </c>
      <c r="H239">
        <f>149038.0278+1.183033881*C239+33.94798174*D239+2804.165526*E239-16716.89105*F239</f>
        <v>717422.9642974356</v>
      </c>
      <c r="I239">
        <f>B239-H239</f>
        <v>28157.545702564414</v>
      </c>
    </row>
    <row r="240" spans="1:9">
      <c r="A240" s="1" t="s">
        <v>48</v>
      </c>
      <c r="B240" s="1">
        <v>727227.2</v>
      </c>
      <c r="C240" s="1">
        <v>57919.07</v>
      </c>
      <c r="D240" s="1">
        <v>7374</v>
      </c>
      <c r="E240" s="1">
        <v>82.3</v>
      </c>
      <c r="F240">
        <f>IF(G240="East",1,0)</f>
        <v>0</v>
      </c>
      <c r="G240" s="1" t="s">
        <v>27</v>
      </c>
      <c r="H240">
        <f>149038.0278+1.183033881*C240+33.94798174*D240+2804.165526*E240-16716.89105*F240</f>
        <v>698673.49010657077</v>
      </c>
      <c r="I240">
        <f>B240-H240</f>
        <v>28553.709893429186</v>
      </c>
    </row>
    <row r="241" spans="1:9">
      <c r="A241" s="1" t="s">
        <v>75</v>
      </c>
      <c r="B241" s="1">
        <v>812152.6</v>
      </c>
      <c r="C241" s="1">
        <v>50887.46</v>
      </c>
      <c r="D241" s="1">
        <v>9505</v>
      </c>
      <c r="E241" s="1">
        <v>89.7</v>
      </c>
      <c r="F241">
        <f>IF(G241="East",1,0)</f>
        <v>0</v>
      </c>
      <c r="G241" s="1" t="s">
        <v>27</v>
      </c>
      <c r="H241">
        <f>149038.0278+1.183033881*C241+33.94798174*D241+2804.165526*E241-16716.89105*F241</f>
        <v>783448.83121893241</v>
      </c>
      <c r="I241">
        <f>B241-H241</f>
        <v>28703.768781067571</v>
      </c>
    </row>
    <row r="242" spans="1:9">
      <c r="A242" s="1" t="s">
        <v>54</v>
      </c>
      <c r="B242" s="1">
        <v>849018.3</v>
      </c>
      <c r="C242" s="1">
        <v>66250.53</v>
      </c>
      <c r="D242" s="1">
        <v>10618</v>
      </c>
      <c r="E242" s="1">
        <v>88.3</v>
      </c>
      <c r="F242">
        <f>IF(G242="East",1,0)</f>
        <v>1</v>
      </c>
      <c r="G242" s="1" t="s">
        <v>15</v>
      </c>
      <c r="H242">
        <f>149038.0278+1.183033881*C242+33.94798174*D242+2804.165526*E242-16716.89105*F242</f>
        <v>818765.24443532701</v>
      </c>
      <c r="I242">
        <f>B242-H242</f>
        <v>30253.055564673035</v>
      </c>
    </row>
    <row r="243" spans="1:9">
      <c r="A243" s="1" t="s">
        <v>35</v>
      </c>
      <c r="B243" s="1">
        <v>746677.75</v>
      </c>
      <c r="C243" s="1">
        <v>99874.01</v>
      </c>
      <c r="D243" s="1">
        <v>5887</v>
      </c>
      <c r="E243" s="1">
        <v>88.7</v>
      </c>
      <c r="F243">
        <f>IF(G243="East",1,0)</f>
        <v>0</v>
      </c>
      <c r="G243" s="1" t="s">
        <v>27</v>
      </c>
      <c r="H243">
        <f>149038.0278+1.183033881*C243+33.94798174*D243+2804.165526*E243-16716.89105*F243</f>
        <v>715773.61612091283</v>
      </c>
      <c r="I243">
        <f>B243-H243</f>
        <v>30904.133879087167</v>
      </c>
    </row>
    <row r="244" spans="1:9">
      <c r="A244" s="1" t="s">
        <v>52</v>
      </c>
      <c r="B244" s="1">
        <v>654317.09</v>
      </c>
      <c r="C244" s="1">
        <v>83044.17</v>
      </c>
      <c r="D244" s="1">
        <v>3694</v>
      </c>
      <c r="E244" s="1">
        <v>89.4</v>
      </c>
      <c r="F244">
        <f>IF(G244="East",1,0)</f>
        <v>0</v>
      </c>
      <c r="G244" s="1" t="s">
        <v>20</v>
      </c>
      <c r="H244">
        <f>149038.0278+1.183033881*C244+33.94798174*D244+2804.165526*E244-16716.89105*F244</f>
        <v>623378.33710148383</v>
      </c>
      <c r="I244">
        <f>B244-H244</f>
        <v>30938.752898516133</v>
      </c>
    </row>
    <row r="245" spans="1:9">
      <c r="A245" s="1" t="s">
        <v>75</v>
      </c>
      <c r="B245" s="1">
        <v>804975.5</v>
      </c>
      <c r="C245" s="1">
        <v>41819.449999999997</v>
      </c>
      <c r="D245" s="1">
        <v>9412</v>
      </c>
      <c r="E245" s="1">
        <v>91</v>
      </c>
      <c r="F245">
        <f>IF(G245="East",1,0)</f>
        <v>0</v>
      </c>
      <c r="G245" s="1" t="s">
        <v>27</v>
      </c>
      <c r="H245">
        <f>149038.0278+1.183033881*C245+33.94798174*D245+2804.165526*E245-16716.89105*F245</f>
        <v>773209.32103766548</v>
      </c>
      <c r="I245">
        <f>B245-H245</f>
        <v>31766.178962334525</v>
      </c>
    </row>
    <row r="246" spans="1:9">
      <c r="A246" s="1" t="s">
        <v>82</v>
      </c>
      <c r="B246" s="1">
        <v>776992.93</v>
      </c>
      <c r="C246" s="1">
        <v>69900.12</v>
      </c>
      <c r="D246" s="1">
        <v>8055</v>
      </c>
      <c r="E246" s="1">
        <v>85.6</v>
      </c>
      <c r="F246">
        <f>IF(G246="East",1,0)</f>
        <v>0</v>
      </c>
      <c r="G246" s="1" t="s">
        <v>24</v>
      </c>
      <c r="H246">
        <f>149038.0278+1.183033881*C246+33.94798174*D246+2804.165526*E246-16716.89105*F246</f>
        <v>745219.79998726572</v>
      </c>
      <c r="I246">
        <f>B246-H246</f>
        <v>31773.130012734327</v>
      </c>
    </row>
    <row r="247" spans="1:9">
      <c r="A247" s="1" t="s">
        <v>90</v>
      </c>
      <c r="B247" s="1">
        <v>561597.32999999996</v>
      </c>
      <c r="C247" s="1">
        <v>17562.57</v>
      </c>
      <c r="D247" s="1">
        <v>3326</v>
      </c>
      <c r="E247" s="1">
        <v>88.1</v>
      </c>
      <c r="F247">
        <f>IF(G247="East",1,0)</f>
        <v>0</v>
      </c>
      <c r="G247" s="1" t="s">
        <v>27</v>
      </c>
      <c r="H247">
        <f>149038.0278+1.183033881*C247+33.94798174*D247+2804.165526*E247-16716.89105*F247</f>
        <v>529773.11325527425</v>
      </c>
      <c r="I247">
        <f>B247-H247</f>
        <v>31824.216744725709</v>
      </c>
    </row>
    <row r="248" spans="1:9">
      <c r="A248" s="1" t="s">
        <v>79</v>
      </c>
      <c r="B248" s="1">
        <v>647512.85</v>
      </c>
      <c r="C248" s="1">
        <v>25818.080000000002</v>
      </c>
      <c r="D248" s="1">
        <v>5457</v>
      </c>
      <c r="E248" s="1">
        <v>95.4</v>
      </c>
      <c r="F248">
        <f>IF(G248="East",1,0)</f>
        <v>1</v>
      </c>
      <c r="G248" s="1" t="s">
        <v>15</v>
      </c>
      <c r="H248">
        <f>149038.0278+1.183033881*C248+33.94798174*D248+2804.165526*E248-16716.89105*F248</f>
        <v>615636.32766794856</v>
      </c>
      <c r="I248">
        <f>B248-H248</f>
        <v>31876.52233205142</v>
      </c>
    </row>
    <row r="249" spans="1:9">
      <c r="A249" s="1" t="s">
        <v>44</v>
      </c>
      <c r="B249" s="1">
        <v>739852.58</v>
      </c>
      <c r="C249" s="1">
        <v>82116.19</v>
      </c>
      <c r="D249" s="1">
        <v>5988</v>
      </c>
      <c r="E249" s="1">
        <v>91.8</v>
      </c>
      <c r="F249">
        <f>IF(G249="East",1,0)</f>
        <v>0</v>
      </c>
      <c r="G249" s="1" t="s">
        <v>24</v>
      </c>
      <c r="H249">
        <f>149038.0278+1.183033881*C249+33.94798174*D249+2804.165526*E249-16716.89105*F249</f>
        <v>706887.17269455339</v>
      </c>
      <c r="I249">
        <f>B249-H249</f>
        <v>32965.40730544657</v>
      </c>
    </row>
    <row r="250" spans="1:9">
      <c r="A250" s="1" t="s">
        <v>88</v>
      </c>
      <c r="B250" s="1">
        <v>767792.94</v>
      </c>
      <c r="C250" s="1">
        <v>73454.539999999994</v>
      </c>
      <c r="D250" s="1">
        <v>8129</v>
      </c>
      <c r="E250" s="1">
        <v>85.2</v>
      </c>
      <c r="F250">
        <f>IF(G250="East",1,0)</f>
        <v>1</v>
      </c>
      <c r="G250" s="1" t="s">
        <v>15</v>
      </c>
      <c r="H250">
        <f>149038.0278+1.183033881*C250+33.94798174*D250+2804.165526*E250-16716.89105*F250</f>
        <v>734098.39266292984</v>
      </c>
      <c r="I250">
        <f>B250-H250</f>
        <v>33694.547337070107</v>
      </c>
    </row>
    <row r="251" spans="1:9">
      <c r="A251" s="1" t="s">
        <v>82</v>
      </c>
      <c r="B251" s="1">
        <v>676337.41</v>
      </c>
      <c r="C251" s="1">
        <v>51781.599999999999</v>
      </c>
      <c r="D251" s="1">
        <v>5648</v>
      </c>
      <c r="E251" s="1">
        <v>85.5</v>
      </c>
      <c r="F251">
        <f>IF(G251="East",1,0)</f>
        <v>0</v>
      </c>
      <c r="G251" s="1" t="s">
        <v>24</v>
      </c>
      <c r="H251">
        <f>149038.0278+1.183033881*C251+33.94798174*D251+2804.165526*E251-16716.89105*F251</f>
        <v>641791.7683529096</v>
      </c>
      <c r="I251">
        <f>B251-H251</f>
        <v>34545.641647090437</v>
      </c>
    </row>
    <row r="252" spans="1:9">
      <c r="A252" s="1" t="s">
        <v>98</v>
      </c>
      <c r="B252" s="1">
        <v>665342.49</v>
      </c>
      <c r="C252" s="1">
        <v>22387.26</v>
      </c>
      <c r="D252" s="1">
        <v>6301</v>
      </c>
      <c r="E252" s="1">
        <v>85.9</v>
      </c>
      <c r="F252">
        <f>IF(G252="East",1,0)</f>
        <v>0</v>
      </c>
      <c r="G252" s="1" t="s">
        <v>24</v>
      </c>
      <c r="H252">
        <f>149038.0278+1.183033881*C252+33.94798174*D252+2804.165526*E252-16716.89105*F252</f>
        <v>630306.9665098961</v>
      </c>
      <c r="I252">
        <f>B252-H252</f>
        <v>35035.523490103893</v>
      </c>
    </row>
    <row r="253" spans="1:9">
      <c r="A253" s="1" t="s">
        <v>41</v>
      </c>
      <c r="B253" s="1">
        <v>691112.6</v>
      </c>
      <c r="C253" s="1">
        <v>54872.82</v>
      </c>
      <c r="D253" s="1">
        <v>5962</v>
      </c>
      <c r="E253" s="1">
        <v>85.4</v>
      </c>
      <c r="F253">
        <f>IF(G253="East",1,0)</f>
        <v>0</v>
      </c>
      <c r="G253" s="1" t="s">
        <v>24</v>
      </c>
      <c r="H253">
        <f>149038.0278+1.183033881*C253+33.94798174*D253+2804.165526*E253-16716.89105*F253</f>
        <v>655828.03606029449</v>
      </c>
      <c r="I253">
        <f>B253-H253</f>
        <v>35284.563939705491</v>
      </c>
    </row>
    <row r="254" spans="1:9">
      <c r="A254" s="1" t="s">
        <v>64</v>
      </c>
      <c r="B254" s="1">
        <v>769702.76</v>
      </c>
      <c r="C254" s="1">
        <v>50825.08</v>
      </c>
      <c r="D254" s="1">
        <v>8949</v>
      </c>
      <c r="E254" s="1">
        <v>84.7</v>
      </c>
      <c r="F254">
        <f>IF(G254="East",1,0)</f>
        <v>1</v>
      </c>
      <c r="G254" s="1" t="s">
        <v>15</v>
      </c>
      <c r="H254">
        <f>149038.0278+1.183033881*C254+33.94798174*D254+2804.165526*E254-16716.89105*F254</f>
        <v>733762.2370379956</v>
      </c>
      <c r="I254">
        <f>B254-H254</f>
        <v>35940.522962004412</v>
      </c>
    </row>
    <row r="255" spans="1:9">
      <c r="A255" s="1" t="s">
        <v>78</v>
      </c>
      <c r="B255" s="1">
        <v>641564.6</v>
      </c>
      <c r="C255" s="1">
        <v>68212.289999999994</v>
      </c>
      <c r="D255" s="1">
        <v>4713</v>
      </c>
      <c r="E255" s="1">
        <v>82.6</v>
      </c>
      <c r="F255">
        <f>IF(G255="East",1,0)</f>
        <v>1</v>
      </c>
      <c r="G255" s="1" t="s">
        <v>15</v>
      </c>
      <c r="H255">
        <f>149038.0278+1.183033881*C255+33.94798174*D255+2804.165526*E255-16716.89105*F255</f>
        <v>604639.49730881758</v>
      </c>
      <c r="I255">
        <f>B255-H255</f>
        <v>36925.102691182401</v>
      </c>
    </row>
    <row r="256" spans="1:9">
      <c r="A256" s="1" t="s">
        <v>59</v>
      </c>
      <c r="B256" s="1">
        <v>696744.15</v>
      </c>
      <c r="C256" s="1">
        <v>47093.55</v>
      </c>
      <c r="D256" s="1">
        <v>5550</v>
      </c>
      <c r="E256" s="1">
        <v>95</v>
      </c>
      <c r="F256">
        <f>IF(G256="East",1,0)</f>
        <v>0</v>
      </c>
      <c r="G256" s="1" t="s">
        <v>24</v>
      </c>
      <c r="H256">
        <f>149038.0278+1.183033881*C256+33.94798174*D256+2804.165526*E256-16716.89105*F256</f>
        <v>659558.3166535676</v>
      </c>
      <c r="I256">
        <f>B256-H256</f>
        <v>37185.833346432424</v>
      </c>
    </row>
    <row r="257" spans="1:9">
      <c r="A257" s="1" t="s">
        <v>44</v>
      </c>
      <c r="B257" s="1">
        <v>586307.22</v>
      </c>
      <c r="C257" s="1">
        <v>31207.51</v>
      </c>
      <c r="D257" s="1">
        <v>3701</v>
      </c>
      <c r="E257" s="1">
        <v>84.7</v>
      </c>
      <c r="F257">
        <f>IF(G257="East",1,0)</f>
        <v>0</v>
      </c>
      <c r="G257" s="1" t="s">
        <v>24</v>
      </c>
      <c r="H257">
        <f>149038.0278+1.183033881*C257+33.94798174*D257+2804.165526*E257-16716.89105*F257</f>
        <v>549111.86994358641</v>
      </c>
      <c r="I257">
        <f>B257-H257</f>
        <v>37195.350056413561</v>
      </c>
    </row>
    <row r="258" spans="1:9">
      <c r="A258" s="1" t="s">
        <v>71</v>
      </c>
      <c r="B258" s="1">
        <v>691447.43</v>
      </c>
      <c r="C258" s="1">
        <v>71851.45</v>
      </c>
      <c r="D258" s="1">
        <v>4970</v>
      </c>
      <c r="E258" s="1">
        <v>89.6</v>
      </c>
      <c r="F258">
        <f>IF(G258="East",1,0)</f>
        <v>0</v>
      </c>
      <c r="G258" s="1" t="s">
        <v>20</v>
      </c>
      <c r="H258">
        <f>149038.0278+1.183033881*C258+33.94798174*D258+2804.165526*E258-16716.89105*F258</f>
        <v>654015.42792637751</v>
      </c>
      <c r="I258">
        <f>B258-H258</f>
        <v>37432.002073622542</v>
      </c>
    </row>
    <row r="259" spans="1:9">
      <c r="A259" s="1" t="s">
        <v>78</v>
      </c>
      <c r="B259" s="1">
        <v>529598.93999999994</v>
      </c>
      <c r="C259" s="1">
        <v>39341.449999999997</v>
      </c>
      <c r="D259" s="1">
        <v>1375</v>
      </c>
      <c r="E259" s="1">
        <v>95</v>
      </c>
      <c r="F259">
        <f>IF(G259="East",1,0)</f>
        <v>1</v>
      </c>
      <c r="G259" s="1" t="s">
        <v>15</v>
      </c>
      <c r="H259">
        <f>149038.0278+1.183033881*C259+33.94798174*D259+2804.165526*E259-16716.89105*F259</f>
        <v>491937.60489016748</v>
      </c>
      <c r="I259">
        <f>B259-H259</f>
        <v>37661.335109832464</v>
      </c>
    </row>
    <row r="260" spans="1:9">
      <c r="A260" s="1" t="s">
        <v>50</v>
      </c>
      <c r="B260" s="1">
        <v>778397.97</v>
      </c>
      <c r="C260" s="1">
        <v>61426.04</v>
      </c>
      <c r="D260" s="1">
        <v>8966</v>
      </c>
      <c r="E260" s="1">
        <v>76.400000000000006</v>
      </c>
      <c r="F260">
        <f>IF(G260="East",1,0)</f>
        <v>0</v>
      </c>
      <c r="G260" s="1" t="s">
        <v>27</v>
      </c>
      <c r="H260">
        <f>149038.0278+1.183033881*C260+33.94798174*D260+2804.165526*E260-16716.89105*F260</f>
        <v>740322.96476290142</v>
      </c>
      <c r="I260">
        <f>B260-H260</f>
        <v>38075.00523709855</v>
      </c>
    </row>
    <row r="261" spans="1:9">
      <c r="A261" s="1" t="s">
        <v>57</v>
      </c>
      <c r="B261" s="1">
        <v>715890.53</v>
      </c>
      <c r="C261" s="1">
        <v>51430.31</v>
      </c>
      <c r="D261" s="1">
        <v>6427</v>
      </c>
      <c r="E261" s="1">
        <v>88.8</v>
      </c>
      <c r="F261">
        <f>IF(G261="East",1,0)</f>
        <v>0</v>
      </c>
      <c r="G261" s="1" t="s">
        <v>27</v>
      </c>
      <c r="H261">
        <f>149038.0278+1.183033881*C261+33.94798174*D261+2804.165526*E261-16716.89105*F261</f>
        <v>677075.40439211309</v>
      </c>
      <c r="I261">
        <f>B261-H261</f>
        <v>38815.125607886934</v>
      </c>
    </row>
    <row r="262" spans="1:9">
      <c r="A262" s="1" t="s">
        <v>34</v>
      </c>
      <c r="B262" s="1">
        <v>773815.14</v>
      </c>
      <c r="C262" s="1">
        <v>65312.49</v>
      </c>
      <c r="D262" s="1">
        <v>7189</v>
      </c>
      <c r="E262" s="1">
        <v>93.7</v>
      </c>
      <c r="F262">
        <f>IF(G262="East",1,0)</f>
        <v>0</v>
      </c>
      <c r="G262" s="1" t="s">
        <v>20</v>
      </c>
      <c r="H262">
        <f>149038.0278+1.183033881*C262+33.94798174*D262+2804.165526*E262-16716.89105*F262</f>
        <v>733107.2668375338</v>
      </c>
      <c r="I262">
        <f>B262-H262</f>
        <v>40707.873162466218</v>
      </c>
    </row>
    <row r="263" spans="1:9">
      <c r="A263" s="1" t="s">
        <v>66</v>
      </c>
      <c r="B263" s="1">
        <v>781955.52</v>
      </c>
      <c r="C263" s="1">
        <v>40535.089999999997</v>
      </c>
      <c r="D263" s="1">
        <v>8870</v>
      </c>
      <c r="E263" s="1">
        <v>86.6</v>
      </c>
      <c r="F263">
        <f>IF(G263="East",1,0)</f>
        <v>0</v>
      </c>
      <c r="G263" s="1" t="s">
        <v>27</v>
      </c>
      <c r="H263">
        <f>149038.0278+1.183033881*C263+33.94798174*D263+2804.165526*E263-16716.89105*F263</f>
        <v>740951.74522478436</v>
      </c>
      <c r="I263">
        <f>B263-H263</f>
        <v>41003.774775215657</v>
      </c>
    </row>
    <row r="264" spans="1:9">
      <c r="A264" s="1" t="s">
        <v>80</v>
      </c>
      <c r="B264" s="1">
        <v>658072.14</v>
      </c>
      <c r="C264" s="1">
        <v>47241.919999999998</v>
      </c>
      <c r="D264" s="1">
        <v>4264</v>
      </c>
      <c r="E264" s="1">
        <v>95.3</v>
      </c>
      <c r="F264">
        <f>IF(G264="East",1,0)</f>
        <v>0</v>
      </c>
      <c r="G264" s="1" t="s">
        <v>27</v>
      </c>
      <c r="H264">
        <f>149038.0278+1.183033881*C264+33.94798174*D264+2804.165526*E264-16716.89105*F264</f>
        <v>616917.98853065155</v>
      </c>
      <c r="I264">
        <f>B264-H264</f>
        <v>41154.151469348464</v>
      </c>
    </row>
    <row r="265" spans="1:9">
      <c r="A265" s="1" t="s">
        <v>57</v>
      </c>
      <c r="B265" s="1">
        <v>682639.28</v>
      </c>
      <c r="C265" s="1">
        <v>44034.6</v>
      </c>
      <c r="D265" s="1">
        <v>5645</v>
      </c>
      <c r="E265" s="1">
        <v>88.5</v>
      </c>
      <c r="F265">
        <f>IF(G265="East",1,0)</f>
        <v>0</v>
      </c>
      <c r="G265" s="1" t="s">
        <v>27</v>
      </c>
      <c r="H265">
        <f>149038.0278+1.183033881*C265+33.94798174*D265+2804.165526*E265-16716.89105*F265</f>
        <v>640937.45750958263</v>
      </c>
      <c r="I265">
        <f>B265-H265</f>
        <v>41701.822490417399</v>
      </c>
    </row>
    <row r="266" spans="1:9">
      <c r="A266" s="1" t="s">
        <v>35</v>
      </c>
      <c r="B266" s="1">
        <v>720852.5</v>
      </c>
      <c r="C266" s="1">
        <v>81195.5</v>
      </c>
      <c r="D266" s="1">
        <v>5516</v>
      </c>
      <c r="E266" s="1">
        <v>88</v>
      </c>
      <c r="F266">
        <f>IF(G266="East",1,0)</f>
        <v>0</v>
      </c>
      <c r="G266" s="1" t="s">
        <v>27</v>
      </c>
      <c r="H266">
        <f>149038.0278+1.183033881*C266+33.94798174*D266+2804.165526*E266-16716.89105*F266</f>
        <v>679118.68885057559</v>
      </c>
      <c r="I266">
        <f>B266-H266</f>
        <v>41733.811149424408</v>
      </c>
    </row>
    <row r="267" spans="1:9">
      <c r="A267" s="1" t="s">
        <v>44</v>
      </c>
      <c r="B267" s="1">
        <v>711213.46</v>
      </c>
      <c r="C267" s="1">
        <v>50517.94</v>
      </c>
      <c r="D267" s="1">
        <v>7024</v>
      </c>
      <c r="E267" s="1">
        <v>79.2</v>
      </c>
      <c r="F267">
        <f>IF(G267="East",1,0)</f>
        <v>0</v>
      </c>
      <c r="G267" s="1" t="s">
        <v>24</v>
      </c>
      <c r="H267">
        <f>149038.0278+1.183033881*C267+33.94798174*D267+2804.165526*E267-16716.89105*F267</f>
        <v>669342.99581928516</v>
      </c>
      <c r="I267">
        <f>B267-H267</f>
        <v>41870.4641807148</v>
      </c>
    </row>
    <row r="268" spans="1:9">
      <c r="A268" s="1" t="s">
        <v>22</v>
      </c>
      <c r="B268" s="1">
        <v>922168.6</v>
      </c>
      <c r="C268" s="1">
        <v>71828.259999999995</v>
      </c>
      <c r="D268" s="1">
        <v>12775</v>
      </c>
      <c r="E268" s="1">
        <v>81.7</v>
      </c>
      <c r="F268">
        <f>IF(G268="East",1,0)</f>
        <v>1</v>
      </c>
      <c r="G268" s="1" t="s">
        <v>15</v>
      </c>
      <c r="H268">
        <f>149038.0278+1.183033881*C268+33.94798174*D268+2804.165526*E268-16716.89105*F268</f>
        <v>880082.19214597717</v>
      </c>
      <c r="I268">
        <f>B268-H268</f>
        <v>42086.407854022807</v>
      </c>
    </row>
    <row r="269" spans="1:9">
      <c r="A269" s="1" t="s">
        <v>63</v>
      </c>
      <c r="B269" s="1">
        <v>825797.91</v>
      </c>
      <c r="C269" s="1">
        <v>72150.53</v>
      </c>
      <c r="D269" s="1">
        <v>9323</v>
      </c>
      <c r="E269" s="1">
        <v>82.9</v>
      </c>
      <c r="F269">
        <f>IF(G269="East",1,0)</f>
        <v>0</v>
      </c>
      <c r="G269" s="1" t="s">
        <v>20</v>
      </c>
      <c r="H269">
        <f>149038.0278+1.183033881*C269+33.94798174*D269+2804.165526*E269-16716.89105*F269</f>
        <v>783356.90518952697</v>
      </c>
      <c r="I269">
        <f>B269-H269</f>
        <v>42441.004810473067</v>
      </c>
    </row>
    <row r="270" spans="1:9">
      <c r="A270" s="1" t="s">
        <v>50</v>
      </c>
      <c r="B270" s="1">
        <v>873380.02</v>
      </c>
      <c r="C270" s="1">
        <v>80176.34</v>
      </c>
      <c r="D270" s="1">
        <v>9489</v>
      </c>
      <c r="E270" s="1">
        <v>94.3</v>
      </c>
      <c r="F270">
        <f>IF(G270="East",1,0)</f>
        <v>0</v>
      </c>
      <c r="G270" s="1" t="s">
        <v>27</v>
      </c>
      <c r="H270">
        <f>149038.0278+1.183033881*C270+33.94798174*D270+2804.165526*E270-16716.89105*F270</f>
        <v>830454.56230723555</v>
      </c>
      <c r="I270">
        <f>B270-H270</f>
        <v>42925.457692764467</v>
      </c>
    </row>
    <row r="271" spans="1:9">
      <c r="A271" s="1" t="s">
        <v>47</v>
      </c>
      <c r="B271" s="1">
        <v>740102.64</v>
      </c>
      <c r="C271" s="1">
        <v>90084.4</v>
      </c>
      <c r="D271" s="1">
        <v>6832</v>
      </c>
      <c r="E271" s="1">
        <v>80.5</v>
      </c>
      <c r="F271">
        <f>IF(G271="East",1,0)</f>
        <v>1</v>
      </c>
      <c r="G271" s="1" t="s">
        <v>15</v>
      </c>
      <c r="H271">
        <f>149038.0278+1.183033881*C271+33.94798174*D271+2804.165526*E271-16716.89105*F271</f>
        <v>696561.97019023646</v>
      </c>
      <c r="I271">
        <f>B271-H271</f>
        <v>43540.669809763553</v>
      </c>
    </row>
    <row r="272" spans="1:9">
      <c r="A272" s="1" t="s">
        <v>88</v>
      </c>
      <c r="B272" s="1">
        <v>762328.31</v>
      </c>
      <c r="C272" s="1">
        <v>67722.289999999994</v>
      </c>
      <c r="D272" s="1">
        <v>7240</v>
      </c>
      <c r="E272" s="1">
        <v>92.9</v>
      </c>
      <c r="F272">
        <f>IF(G272="East",1,0)</f>
        <v>1</v>
      </c>
      <c r="G272" s="1" t="s">
        <v>15</v>
      </c>
      <c r="H272">
        <f>149038.0278+1.183033881*C272+33.94798174*D272+2804.165526*E272-16716.89105*F272</f>
        <v>718729.26548190753</v>
      </c>
      <c r="I272">
        <f>B272-H272</f>
        <v>43599.044518092531</v>
      </c>
    </row>
    <row r="273" spans="1:9">
      <c r="A273" s="1" t="s">
        <v>85</v>
      </c>
      <c r="B273" s="1">
        <v>720079.54</v>
      </c>
      <c r="C273" s="1">
        <v>75412.740000000005</v>
      </c>
      <c r="D273" s="1">
        <v>5641</v>
      </c>
      <c r="E273" s="1">
        <v>87.9</v>
      </c>
      <c r="F273">
        <f>IF(G273="East",1,0)</f>
        <v>0</v>
      </c>
      <c r="G273" s="1" t="s">
        <v>24</v>
      </c>
      <c r="H273">
        <f>149038.0278+1.183033881*C273+33.94798174*D273+2804.165526*E273-16716.89105*F273</f>
        <v>676240.56900978403</v>
      </c>
      <c r="I273">
        <f>B273-H273</f>
        <v>43838.97099021601</v>
      </c>
    </row>
    <row r="274" spans="1:9">
      <c r="A274" s="1" t="s">
        <v>37</v>
      </c>
      <c r="B274" s="1">
        <v>761860.19</v>
      </c>
      <c r="C274" s="1">
        <v>74954.47</v>
      </c>
      <c r="D274" s="1">
        <v>6620</v>
      </c>
      <c r="E274" s="1">
        <v>91.1</v>
      </c>
      <c r="F274">
        <f>IF(G274="East",1,0)</f>
        <v>0</v>
      </c>
      <c r="G274" s="1" t="s">
        <v>24</v>
      </c>
      <c r="H274">
        <f>149038.0278+1.183033881*C274+33.94798174*D274+2804.165526*E274-16716.89105*F274</f>
        <v>717906.82387979806</v>
      </c>
      <c r="I274">
        <f>B274-H274</f>
        <v>43953.366120201885</v>
      </c>
    </row>
    <row r="275" spans="1:9">
      <c r="A275" s="1" t="s">
        <v>39</v>
      </c>
      <c r="B275" s="1">
        <v>674774.09</v>
      </c>
      <c r="C275" s="1">
        <v>55081.16</v>
      </c>
      <c r="D275" s="1">
        <v>5485</v>
      </c>
      <c r="E275" s="1">
        <v>88</v>
      </c>
      <c r="F275">
        <f>IF(G275="East",1,0)</f>
        <v>1</v>
      </c>
      <c r="G275" s="1" t="s">
        <v>15</v>
      </c>
      <c r="H275">
        <f>149038.0278+1.183033881*C275+33.94798174*D275+2804.165526*E275-16716.89105*F275</f>
        <v>630455.26136668213</v>
      </c>
      <c r="I275">
        <f>B275-H275</f>
        <v>44318.82863331784</v>
      </c>
    </row>
    <row r="276" spans="1:9">
      <c r="A276" s="1" t="s">
        <v>49</v>
      </c>
      <c r="B276" s="1">
        <v>709478.39</v>
      </c>
      <c r="C276" s="1">
        <v>75265.02</v>
      </c>
      <c r="D276" s="1">
        <v>6975</v>
      </c>
      <c r="E276" s="1">
        <v>73.8</v>
      </c>
      <c r="F276">
        <f>IF(G276="East",1,0)</f>
        <v>1</v>
      </c>
      <c r="G276" s="1" t="s">
        <v>15</v>
      </c>
      <c r="H276">
        <f>149038.0278+1.183033881*C276+33.94798174*D276+2804.165526*E276-16716.89105*F276</f>
        <v>665096.79391944269</v>
      </c>
      <c r="I276">
        <f>B276-H276</f>
        <v>44381.596080557327</v>
      </c>
    </row>
    <row r="277" spans="1:9">
      <c r="A277" s="1" t="s">
        <v>41</v>
      </c>
      <c r="B277" s="1">
        <v>776922.17</v>
      </c>
      <c r="C277" s="1">
        <v>80562.81</v>
      </c>
      <c r="D277" s="1">
        <v>7470</v>
      </c>
      <c r="E277" s="1">
        <v>83.5</v>
      </c>
      <c r="F277">
        <f>IF(G277="East",1,0)</f>
        <v>0</v>
      </c>
      <c r="G277" s="1" t="s">
        <v>24</v>
      </c>
      <c r="H277">
        <f>149038.0278+1.183033881*C277+33.94798174*D277+2804.165526*E277-16716.89105*F277</f>
        <v>732085.80659736565</v>
      </c>
      <c r="I277">
        <f>B277-H277</f>
        <v>44836.363402634393</v>
      </c>
    </row>
    <row r="278" spans="1:9">
      <c r="A278" s="1" t="s">
        <v>37</v>
      </c>
      <c r="B278" s="1">
        <v>615966.48</v>
      </c>
      <c r="C278" s="1">
        <v>37284.660000000003</v>
      </c>
      <c r="D278" s="1">
        <v>3928</v>
      </c>
      <c r="E278" s="1">
        <v>86.5</v>
      </c>
      <c r="F278">
        <f>IF(G278="East",1,0)</f>
        <v>0</v>
      </c>
      <c r="G278" s="1" t="s">
        <v>24</v>
      </c>
      <c r="H278">
        <f>149038.0278+1.183033881*C278+33.94798174*D278+2804.165526*E278-16716.89105*F278</f>
        <v>569055.03409528546</v>
      </c>
      <c r="I278">
        <f>B278-H278</f>
        <v>46911.445904714521</v>
      </c>
    </row>
    <row r="279" spans="1:9">
      <c r="A279" s="1" t="s">
        <v>69</v>
      </c>
      <c r="B279" s="1">
        <v>625993.82999999996</v>
      </c>
      <c r="C279" s="1">
        <v>71641.899999999994</v>
      </c>
      <c r="D279" s="1">
        <v>3506</v>
      </c>
      <c r="E279" s="1">
        <v>86.4</v>
      </c>
      <c r="F279">
        <f>IF(G279="East",1,0)</f>
        <v>1</v>
      </c>
      <c r="G279" s="1" t="s">
        <v>15</v>
      </c>
      <c r="H279">
        <f>149038.0278+1.183033881*C279+33.94798174*D279+2804.165526*E279-16716.89105*F279</f>
        <v>578377.45717605401</v>
      </c>
      <c r="I279">
        <f>B279-H279</f>
        <v>47616.372823945945</v>
      </c>
    </row>
    <row r="280" spans="1:9">
      <c r="A280" s="1" t="s">
        <v>76</v>
      </c>
      <c r="B280" s="1">
        <v>673348.56</v>
      </c>
      <c r="C280" s="1">
        <v>58785.33</v>
      </c>
      <c r="D280" s="1">
        <v>4467</v>
      </c>
      <c r="E280" s="1">
        <v>90.7</v>
      </c>
      <c r="F280">
        <f>IF(G280="East",1,0)</f>
        <v>0</v>
      </c>
      <c r="G280" s="1" t="s">
        <v>20</v>
      </c>
      <c r="H280">
        <f>149038.0278+1.183033881*C280+33.94798174*D280+2804.165526*E280-16716.89105*F280</f>
        <v>624566.51253654575</v>
      </c>
      <c r="I280">
        <f>B280-H280</f>
        <v>48782.047463454306</v>
      </c>
    </row>
    <row r="281" spans="1:9">
      <c r="A281" s="1" t="s">
        <v>31</v>
      </c>
      <c r="B281" s="1">
        <v>820593.93</v>
      </c>
      <c r="C281" s="1">
        <v>75269.87</v>
      </c>
      <c r="D281" s="1">
        <v>8838</v>
      </c>
      <c r="E281" s="1">
        <v>83.1</v>
      </c>
      <c r="F281">
        <f>IF(G281="East",1,0)</f>
        <v>0</v>
      </c>
      <c r="G281" s="1" t="s">
        <v>20</v>
      </c>
      <c r="H281">
        <f>149038.0278+1.183033881*C281+33.94798174*D281+2804.165526*E281-16716.89105*F281</f>
        <v>771143.25205718551</v>
      </c>
      <c r="I281">
        <f>B281-H281</f>
        <v>49450.677942814538</v>
      </c>
    </row>
    <row r="282" spans="1:9">
      <c r="A282" s="1" t="s">
        <v>45</v>
      </c>
      <c r="B282" s="1">
        <v>753473.55</v>
      </c>
      <c r="C282" s="1">
        <v>67439.3</v>
      </c>
      <c r="D282" s="1">
        <v>6477</v>
      </c>
      <c r="E282" s="1">
        <v>90.9</v>
      </c>
      <c r="F282">
        <f>IF(G282="East",1,0)</f>
        <v>0</v>
      </c>
      <c r="G282" s="1" t="s">
        <v>27</v>
      </c>
      <c r="H282">
        <f>149038.0278+1.183033881*C282+33.94798174*D282+2804.165526*E282-16716.89105*F282</f>
        <v>703600.72865430336</v>
      </c>
      <c r="I282">
        <f>B282-H282</f>
        <v>49872.821345696691</v>
      </c>
    </row>
    <row r="283" spans="1:9">
      <c r="A283" s="1" t="s">
        <v>56</v>
      </c>
      <c r="B283" s="1">
        <v>758827.64</v>
      </c>
      <c r="C283" s="1">
        <v>69779</v>
      </c>
      <c r="D283" s="1">
        <v>6544</v>
      </c>
      <c r="E283" s="1">
        <v>90.2</v>
      </c>
      <c r="F283">
        <f>IF(G283="East",1,0)</f>
        <v>0</v>
      </c>
      <c r="G283" s="1" t="s">
        <v>24</v>
      </c>
      <c r="H283">
        <f>149038.0278+1.183033881*C283+33.94798174*D283+2804.165526*E283-16716.89105*F283</f>
        <v>706680.2719340591</v>
      </c>
      <c r="I283">
        <f>B283-H283</f>
        <v>52147.368065940915</v>
      </c>
    </row>
    <row r="284" spans="1:9">
      <c r="A284" s="1" t="s">
        <v>61</v>
      </c>
      <c r="B284" s="1">
        <v>620973.03</v>
      </c>
      <c r="C284" s="1">
        <v>23254.57</v>
      </c>
      <c r="D284" s="1">
        <v>3847</v>
      </c>
      <c r="E284" s="1">
        <v>93</v>
      </c>
      <c r="F284">
        <f>IF(G284="East",1,0)</f>
        <v>0</v>
      </c>
      <c r="G284" s="1" t="s">
        <v>20</v>
      </c>
      <c r="H284">
        <f>149038.0278+1.183033881*C284+33.94798174*D284+2804.165526*E284-16716.89105*F284</f>
        <v>567934.25166986615</v>
      </c>
      <c r="I284">
        <f>B284-H284</f>
        <v>53038.778330133879</v>
      </c>
    </row>
    <row r="285" spans="1:9">
      <c r="A285" s="1" t="s">
        <v>53</v>
      </c>
      <c r="B285" s="1">
        <v>842157.92</v>
      </c>
      <c r="C285" s="1">
        <v>56517.9</v>
      </c>
      <c r="D285" s="1">
        <v>9574</v>
      </c>
      <c r="E285" s="1">
        <v>88.2</v>
      </c>
      <c r="F285">
        <f>IF(G285="East",1,0)</f>
        <v>0</v>
      </c>
      <c r="G285" s="1" t="s">
        <v>24</v>
      </c>
      <c r="H285">
        <f>149038.0278+1.183033881*C285+33.94798174*D285+2804.165526*E285-16716.89105*F285</f>
        <v>788245.99495493004</v>
      </c>
      <c r="I285">
        <f>B285-H285</f>
        <v>53911.925045070006</v>
      </c>
    </row>
    <row r="286" spans="1:9">
      <c r="A286" s="1" t="s">
        <v>97</v>
      </c>
      <c r="B286" s="1">
        <v>780580.95</v>
      </c>
      <c r="C286" s="1">
        <v>31997.25</v>
      </c>
      <c r="D286" s="1">
        <v>8183</v>
      </c>
      <c r="E286" s="1">
        <v>93</v>
      </c>
      <c r="F286">
        <f>IF(G286="East",1,0)</f>
        <v>0</v>
      </c>
      <c r="G286" s="1" t="s">
        <v>20</v>
      </c>
      <c r="H286">
        <f>149038.0278+1.183033881*C286+33.94798174*D286+2804.165526*E286-16716.89105*F286</f>
        <v>725475.58714524738</v>
      </c>
      <c r="I286">
        <f>B286-H286</f>
        <v>55105.362854752573</v>
      </c>
    </row>
    <row r="287" spans="1:9">
      <c r="A287" s="1" t="s">
        <v>89</v>
      </c>
      <c r="B287" s="1">
        <v>739374.56</v>
      </c>
      <c r="C287" s="1">
        <v>23914.97</v>
      </c>
      <c r="D287" s="1">
        <v>8018</v>
      </c>
      <c r="E287" s="1">
        <v>89</v>
      </c>
      <c r="F287">
        <f>IF(G287="East",1,0)</f>
        <v>1</v>
      </c>
      <c r="G287" s="1" t="s">
        <v>15</v>
      </c>
      <c r="H287">
        <f>149038.0278+1.183033881*C287+33.94798174*D287+2804.165526*E287-16716.89105*F287</f>
        <v>682379.0059284186</v>
      </c>
      <c r="I287">
        <f>B287-H287</f>
        <v>56995.554071581457</v>
      </c>
    </row>
    <row r="288" spans="1:9">
      <c r="A288" s="1" t="s">
        <v>86</v>
      </c>
      <c r="B288" s="1">
        <v>776110.32</v>
      </c>
      <c r="C288" s="1">
        <v>38397.82</v>
      </c>
      <c r="D288" s="1">
        <v>7836</v>
      </c>
      <c r="E288" s="1">
        <v>92.2</v>
      </c>
      <c r="F288">
        <f>IF(G288="East",1,0)</f>
        <v>0</v>
      </c>
      <c r="G288" s="1" t="s">
        <v>24</v>
      </c>
      <c r="H288">
        <f>149038.0278+1.183033881*C288+33.94798174*D288+2804.165526*E288-16716.89105*F288</f>
        <v>719024.39622837945</v>
      </c>
      <c r="I288">
        <f>B288-H288</f>
        <v>57085.923771620495</v>
      </c>
    </row>
    <row r="289" spans="1:9">
      <c r="A289" s="1" t="s">
        <v>79</v>
      </c>
      <c r="B289" s="1">
        <v>870937.4</v>
      </c>
      <c r="C289" s="1">
        <v>113736</v>
      </c>
      <c r="D289" s="1">
        <v>8961</v>
      </c>
      <c r="E289" s="1">
        <v>86.2</v>
      </c>
      <c r="F289">
        <f>IF(G289="East",1,0)</f>
        <v>1</v>
      </c>
      <c r="G289" s="1" t="s">
        <v>15</v>
      </c>
      <c r="H289">
        <f>149038.0278+1.183033881*C289+33.94798174*D289+2804.165526*E289-16716.89105*F289</f>
        <v>812801.61095275613</v>
      </c>
      <c r="I289">
        <f>B289-H289</f>
        <v>58135.789047243888</v>
      </c>
    </row>
    <row r="290" spans="1:9">
      <c r="A290" s="1" t="s">
        <v>42</v>
      </c>
      <c r="B290" s="1">
        <v>682208.01</v>
      </c>
      <c r="C290" s="1">
        <v>60628.38</v>
      </c>
      <c r="D290" s="1">
        <v>4451</v>
      </c>
      <c r="E290" s="1">
        <v>89.6</v>
      </c>
      <c r="F290">
        <f>IF(G290="East",1,0)</f>
        <v>0</v>
      </c>
      <c r="G290" s="1" t="s">
        <v>27</v>
      </c>
      <c r="H290">
        <f>149038.0278+1.183033881*C290+33.94798174*D290+2804.165526*E290-16716.89105*F290</f>
        <v>623119.15334448277</v>
      </c>
      <c r="I290">
        <f>B290-H290</f>
        <v>59088.856655517244</v>
      </c>
    </row>
    <row r="291" spans="1:9">
      <c r="A291" s="1" t="s">
        <v>47</v>
      </c>
      <c r="B291" s="1">
        <v>635181.35</v>
      </c>
      <c r="C291" s="1">
        <v>53084.76</v>
      </c>
      <c r="D291" s="1">
        <v>3642</v>
      </c>
      <c r="E291" s="1">
        <v>91.4</v>
      </c>
      <c r="F291">
        <f>IF(G291="East",1,0)</f>
        <v>1</v>
      </c>
      <c r="G291" s="1" t="s">
        <v>15</v>
      </c>
      <c r="H291">
        <f>149038.0278+1.183033881*C291+33.94798174*D291+2804.165526*E291-16716.89105*F291</f>
        <v>575061.48496823362</v>
      </c>
      <c r="I291">
        <f>B291-H291</f>
        <v>60119.865031766356</v>
      </c>
    </row>
    <row r="292" spans="1:9">
      <c r="A292" s="1" t="s">
        <v>45</v>
      </c>
      <c r="B292" s="1">
        <v>838250.32</v>
      </c>
      <c r="C292" s="1">
        <v>86421.88</v>
      </c>
      <c r="D292" s="1">
        <v>7970</v>
      </c>
      <c r="E292" s="1">
        <v>91.3</v>
      </c>
      <c r="F292">
        <f>IF(G292="East",1,0)</f>
        <v>0</v>
      </c>
      <c r="G292" s="1" t="s">
        <v>27</v>
      </c>
      <c r="H292">
        <f>149038.0278+1.183033881*C292+33.94798174*D292+2804.165526*E292-16716.89105*F292</f>
        <v>777863.76689131628</v>
      </c>
      <c r="I292">
        <f>B292-H292</f>
        <v>60386.553108683671</v>
      </c>
    </row>
    <row r="293" spans="1:9">
      <c r="A293" s="1" t="s">
        <v>19</v>
      </c>
      <c r="B293" s="1">
        <v>910791.94</v>
      </c>
      <c r="C293" s="1">
        <v>67979.88</v>
      </c>
      <c r="D293" s="1">
        <v>11230</v>
      </c>
      <c r="E293" s="1">
        <v>85.3</v>
      </c>
      <c r="F293">
        <f>IF(G293="East",1,0)</f>
        <v>0</v>
      </c>
      <c r="G293" s="1" t="s">
        <v>20</v>
      </c>
      <c r="H293">
        <f>149038.0278+1.183033881*C293+33.94798174*D293+2804.165526*E293-16716.89105*F293</f>
        <v>849891.68337431434</v>
      </c>
      <c r="I293">
        <f>B293-H293</f>
        <v>60900.256625685608</v>
      </c>
    </row>
    <row r="294" spans="1:9">
      <c r="A294" s="1" t="s">
        <v>68</v>
      </c>
      <c r="B294" s="1">
        <v>765906.95</v>
      </c>
      <c r="C294" s="1">
        <v>48031.74</v>
      </c>
      <c r="D294" s="1">
        <v>6516</v>
      </c>
      <c r="E294" s="1">
        <v>99</v>
      </c>
      <c r="F294">
        <f>IF(G294="East",1,0)</f>
        <v>0</v>
      </c>
      <c r="G294" s="1" t="s">
        <v>20</v>
      </c>
      <c r="H294">
        <f>149038.0278+1.183033881*C294+33.94798174*D294+2804.165526*E294-16716.89105*F294</f>
        <v>704678.63967522304</v>
      </c>
      <c r="I294">
        <f>B294-H294</f>
        <v>61228.310324776918</v>
      </c>
    </row>
    <row r="295" spans="1:9">
      <c r="A295" s="1" t="s">
        <v>61</v>
      </c>
      <c r="B295" s="1">
        <v>724216.07</v>
      </c>
      <c r="C295" s="1">
        <v>56918.16</v>
      </c>
      <c r="D295" s="1">
        <v>7015</v>
      </c>
      <c r="E295" s="1">
        <v>74.2</v>
      </c>
      <c r="F295">
        <f>IF(G295="East",1,0)</f>
        <v>0</v>
      </c>
      <c r="G295" s="1" t="s">
        <v>20</v>
      </c>
      <c r="H295">
        <f>149038.0278+1.183033881*C295+33.94798174*D295+2804.165526*E295-16716.89105*F295</f>
        <v>662588.31345947902</v>
      </c>
      <c r="I295">
        <f>B295-H295</f>
        <v>61627.756540520932</v>
      </c>
    </row>
    <row r="296" spans="1:9">
      <c r="A296" s="1" t="s">
        <v>37</v>
      </c>
      <c r="B296" s="1">
        <v>749559.71</v>
      </c>
      <c r="C296" s="1">
        <v>74907.98</v>
      </c>
      <c r="D296" s="1">
        <v>5306</v>
      </c>
      <c r="E296" s="1">
        <v>95.6</v>
      </c>
      <c r="F296">
        <f>IF(G296="East",1,0)</f>
        <v>0</v>
      </c>
      <c r="G296" s="1" t="s">
        <v>24</v>
      </c>
      <c r="H296">
        <f>149038.0278+1.183033881*C296+33.94798174*D296+2804.165526*E296-16716.89105*F296</f>
        <v>685862.92149531038</v>
      </c>
      <c r="I296">
        <f>B296-H296</f>
        <v>63696.788504689583</v>
      </c>
    </row>
    <row r="297" spans="1:9">
      <c r="A297" s="1" t="s">
        <v>87</v>
      </c>
      <c r="B297" s="1">
        <v>677640.65</v>
      </c>
      <c r="C297" s="1">
        <v>51450.55</v>
      </c>
      <c r="D297" s="1">
        <v>4902</v>
      </c>
      <c r="E297" s="1">
        <v>83.7</v>
      </c>
      <c r="F297">
        <f>IF(G297="East",1,0)</f>
        <v>0</v>
      </c>
      <c r="G297" s="1" t="s">
        <v>27</v>
      </c>
      <c r="H297">
        <f>149038.0278+1.183033881*C297+33.94798174*D297+2804.165526*E297-16716.89105*F297</f>
        <v>611027.43266176456</v>
      </c>
      <c r="I297">
        <f>B297-H297</f>
        <v>66613.217338235467</v>
      </c>
    </row>
    <row r="298" spans="1:9">
      <c r="A298" s="1" t="s">
        <v>73</v>
      </c>
      <c r="B298" s="1">
        <v>795464.47</v>
      </c>
      <c r="C298" s="1">
        <v>54300.87</v>
      </c>
      <c r="D298" s="1">
        <v>7875</v>
      </c>
      <c r="E298" s="1">
        <v>94.1</v>
      </c>
      <c r="F298">
        <f>IF(G298="East",1,0)</f>
        <v>1</v>
      </c>
      <c r="G298" s="1" t="s">
        <v>15</v>
      </c>
      <c r="H298">
        <f>149038.0278+1.183033881*C298+33.94798174*D298+2804.165526*E298-16716.89105*F298</f>
        <v>727773.23792687652</v>
      </c>
      <c r="I298">
        <f>B298-H298</f>
        <v>67691.23207312345</v>
      </c>
    </row>
    <row r="299" spans="1:9">
      <c r="A299" s="1" t="s">
        <v>48</v>
      </c>
      <c r="B299" s="1">
        <v>795153.84</v>
      </c>
      <c r="C299" s="1">
        <v>64294.23</v>
      </c>
      <c r="D299" s="1">
        <v>6992</v>
      </c>
      <c r="E299" s="1">
        <v>94.1</v>
      </c>
      <c r="F299">
        <f>IF(G299="East",1,0)</f>
        <v>0</v>
      </c>
      <c r="G299" s="1" t="s">
        <v>27</v>
      </c>
      <c r="H299">
        <f>149038.0278+1.183033881*C299+33.94798174*D299+2804.165526*E299-16716.89105*F299</f>
        <v>726336.54456548672</v>
      </c>
      <c r="I299">
        <f>B299-H299</f>
        <v>68817.295434513246</v>
      </c>
    </row>
    <row r="300" spans="1:9">
      <c r="A300" s="1" t="s">
        <v>66</v>
      </c>
      <c r="B300" s="1">
        <v>898031.04</v>
      </c>
      <c r="C300" s="1">
        <v>74881.56</v>
      </c>
      <c r="D300" s="1">
        <v>9999</v>
      </c>
      <c r="E300" s="1">
        <v>89.6</v>
      </c>
      <c r="F300">
        <f>IF(G300="East",1,0)</f>
        <v>0</v>
      </c>
      <c r="G300" s="1" t="s">
        <v>27</v>
      </c>
      <c r="H300">
        <f>149038.0278+1.183033881*C300+33.94798174*D300+2804.165526*E300-16716.89105*F300</f>
        <v>828324.55088999437</v>
      </c>
      <c r="I300">
        <f>B300-H300</f>
        <v>69706.48911000567</v>
      </c>
    </row>
    <row r="301" spans="1:9">
      <c r="A301" s="1" t="s">
        <v>80</v>
      </c>
      <c r="B301" s="1">
        <v>723305.11</v>
      </c>
      <c r="C301" s="1">
        <v>61650.79</v>
      </c>
      <c r="D301" s="1">
        <v>5321</v>
      </c>
      <c r="E301" s="1">
        <v>89.2</v>
      </c>
      <c r="F301">
        <f>IF(G301="East",1,0)</f>
        <v>0</v>
      </c>
      <c r="G301" s="1" t="s">
        <v>27</v>
      </c>
      <c r="H301">
        <f>149038.0278+1.183033881*C301+33.94798174*D301+2804.165526*E301-16716.89105*F301</f>
        <v>652741.77691815607</v>
      </c>
      <c r="I301">
        <f>B301-H301</f>
        <v>70563.333081843914</v>
      </c>
    </row>
    <row r="302" spans="1:9">
      <c r="A302" s="1" t="s">
        <v>71</v>
      </c>
      <c r="B302" s="1">
        <v>735786.64</v>
      </c>
      <c r="C302" s="1">
        <v>61391.8</v>
      </c>
      <c r="D302" s="1">
        <v>5575</v>
      </c>
      <c r="E302" s="1">
        <v>90</v>
      </c>
      <c r="F302">
        <f>IF(G302="East",1,0)</f>
        <v>0</v>
      </c>
      <c r="G302" s="1" t="s">
        <v>20</v>
      </c>
      <c r="H302">
        <f>149038.0278+1.183033881*C302+33.94798174*D302+2804.165526*E302-16716.89105*F302</f>
        <v>663301.50275607582</v>
      </c>
      <c r="I302">
        <f>B302-H302</f>
        <v>72485.137243924197</v>
      </c>
    </row>
    <row r="303" spans="1:9">
      <c r="A303" s="1" t="s">
        <v>39</v>
      </c>
      <c r="B303" s="1">
        <v>661927.14</v>
      </c>
      <c r="C303" s="1">
        <v>70937.240000000005</v>
      </c>
      <c r="D303" s="1">
        <v>3595</v>
      </c>
      <c r="E303" s="1">
        <v>88.9</v>
      </c>
      <c r="F303">
        <f>IF(G303="East",1,0)</f>
        <v>1</v>
      </c>
      <c r="G303" s="1" t="s">
        <v>15</v>
      </c>
      <c r="H303">
        <f>149038.0278+1.183033881*C303+33.94798174*D303+2804.165526*E303-16716.89105*F303</f>
        <v>587575.60471132852</v>
      </c>
      <c r="I303">
        <f>B303-H303</f>
        <v>74351.535288671497</v>
      </c>
    </row>
    <row r="304" spans="1:9">
      <c r="A304" s="1" t="s">
        <v>90</v>
      </c>
      <c r="B304" s="1">
        <v>686737.87</v>
      </c>
      <c r="C304" s="1">
        <v>38297.58</v>
      </c>
      <c r="D304" s="1">
        <v>5893</v>
      </c>
      <c r="E304" s="1">
        <v>77.599999999999994</v>
      </c>
      <c r="F304">
        <f>IF(G304="East",1,0)</f>
        <v>0</v>
      </c>
      <c r="G304" s="1" t="s">
        <v>27</v>
      </c>
      <c r="H304">
        <f>149038.0278+1.183033881*C304+33.94798174*D304+2804.165526*E304-16716.89105*F304</f>
        <v>612004.06371172797</v>
      </c>
      <c r="I304">
        <f>B304-H304</f>
        <v>74733.806288272026</v>
      </c>
    </row>
    <row r="305" spans="1:9">
      <c r="A305" s="1" t="s">
        <v>19</v>
      </c>
      <c r="B305" s="1">
        <v>930581.7</v>
      </c>
      <c r="C305" s="1">
        <v>71838.86</v>
      </c>
      <c r="D305" s="1">
        <v>10979</v>
      </c>
      <c r="E305" s="1">
        <v>88.6</v>
      </c>
      <c r="F305">
        <f>IF(G305="East",1,0)</f>
        <v>0</v>
      </c>
      <c r="G305" s="1" t="s">
        <v>20</v>
      </c>
      <c r="H305">
        <f>149038.0278+1.183033881*C305+33.94798174*D305+2804.165526*E305-16716.89105*F305</f>
        <v>855189.79027947574</v>
      </c>
      <c r="I305">
        <f>B305-H305</f>
        <v>75391.909720524214</v>
      </c>
    </row>
    <row r="306" spans="1:9">
      <c r="A306" s="1" t="s">
        <v>66</v>
      </c>
      <c r="B306" s="1">
        <v>783582</v>
      </c>
      <c r="C306" s="1">
        <v>29389.32</v>
      </c>
      <c r="D306" s="1">
        <v>7925</v>
      </c>
      <c r="E306" s="1">
        <v>90.9</v>
      </c>
      <c r="F306">
        <f>IF(G306="East",1,0)</f>
        <v>0</v>
      </c>
      <c r="G306" s="1" t="s">
        <v>27</v>
      </c>
      <c r="H306">
        <f>149038.0278+1.183033881*C306+33.94798174*D306+2804.165526*E306-16716.89105*F306</f>
        <v>707742.99070245097</v>
      </c>
      <c r="I306">
        <f>B306-H306</f>
        <v>75839.009297549026</v>
      </c>
    </row>
    <row r="307" spans="1:9">
      <c r="A307" s="1" t="s">
        <v>46</v>
      </c>
      <c r="B307" s="1">
        <v>735509.4</v>
      </c>
      <c r="C307" s="1">
        <v>78839.39</v>
      </c>
      <c r="D307" s="1">
        <v>5150</v>
      </c>
      <c r="E307" s="1">
        <v>85.8</v>
      </c>
      <c r="F307">
        <f>IF(G307="East",1,0)</f>
        <v>0</v>
      </c>
      <c r="G307" s="1" t="s">
        <v>27</v>
      </c>
      <c r="H307">
        <f>149038.0278+1.183033881*C307+33.94798174*D307+2804.165526*E307-16716.89105*F307</f>
        <v>657737.20541917265</v>
      </c>
      <c r="I307">
        <f>B307-H307</f>
        <v>77772.194580827374</v>
      </c>
    </row>
    <row r="308" spans="1:9">
      <c r="A308" s="1" t="s">
        <v>17</v>
      </c>
      <c r="B308" s="1">
        <v>850164.26</v>
      </c>
      <c r="C308" s="1">
        <v>68148.52</v>
      </c>
      <c r="D308" s="1">
        <v>8567</v>
      </c>
      <c r="E308" s="1">
        <v>95.6</v>
      </c>
      <c r="F308">
        <f>IF(G308="East",1,0)</f>
        <v>1</v>
      </c>
      <c r="G308" s="1" t="s">
        <v>15</v>
      </c>
      <c r="H308">
        <f>149038.0278+1.183033881*C308+33.94798174*D308+2804.165526*E308-16716.89105*F308</f>
        <v>771853.72870218614</v>
      </c>
      <c r="I308">
        <f>B308-H308</f>
        <v>78310.531297813868</v>
      </c>
    </row>
    <row r="309" spans="1:9">
      <c r="A309" s="1" t="s">
        <v>96</v>
      </c>
      <c r="B309" s="1">
        <v>763162.45</v>
      </c>
      <c r="C309" s="1">
        <v>55477.61</v>
      </c>
      <c r="D309" s="1">
        <v>5903</v>
      </c>
      <c r="E309" s="1">
        <v>96.2</v>
      </c>
      <c r="F309">
        <f>IF(G309="East",1,0)</f>
        <v>0</v>
      </c>
      <c r="G309" s="1" t="s">
        <v>27</v>
      </c>
      <c r="H309">
        <f>149038.0278+1.183033881*C309+33.94798174*D309+2804.165526*E309-16716.89105*F309</f>
        <v>684825.57987932442</v>
      </c>
      <c r="I309">
        <f>B309-H309</f>
        <v>78336.870120675536</v>
      </c>
    </row>
    <row r="310" spans="1:9">
      <c r="A310" s="1" t="s">
        <v>62</v>
      </c>
      <c r="B310" s="1">
        <v>778298.88</v>
      </c>
      <c r="C310" s="1">
        <v>48438.85</v>
      </c>
      <c r="D310" s="1">
        <v>6992</v>
      </c>
      <c r="E310" s="1">
        <v>91</v>
      </c>
      <c r="F310">
        <f>IF(G310="East",1,0)</f>
        <v>0</v>
      </c>
      <c r="G310" s="1" t="s">
        <v>24</v>
      </c>
      <c r="H310">
        <f>149038.0278+1.183033881*C310+33.94798174*D310+2804.165526*E310-16716.89105*F310</f>
        <v>698886.1796987569</v>
      </c>
      <c r="I310">
        <f>B310-H310</f>
        <v>79412.700301243109</v>
      </c>
    </row>
    <row r="311" spans="1:9">
      <c r="A311" s="1" t="s">
        <v>40</v>
      </c>
      <c r="B311" s="1">
        <v>788087.68</v>
      </c>
      <c r="C311" s="1">
        <v>70144.78</v>
      </c>
      <c r="D311" s="1">
        <v>6806</v>
      </c>
      <c r="E311" s="1">
        <v>93.1</v>
      </c>
      <c r="F311">
        <f>IF(G311="East",1,0)</f>
        <v>1</v>
      </c>
      <c r="G311" s="1" t="s">
        <v>15</v>
      </c>
      <c r="H311">
        <f>149038.0278+1.183033881*C311+33.94798174*D311+2804.165526*E311-16716.89105*F311</f>
        <v>707422.56225833122</v>
      </c>
      <c r="I311">
        <f>B311-H311</f>
        <v>80665.11774166883</v>
      </c>
    </row>
    <row r="312" spans="1:9">
      <c r="A312" s="1" t="s">
        <v>51</v>
      </c>
      <c r="B312" s="1">
        <v>820519.04</v>
      </c>
      <c r="C312" s="1">
        <v>57360.01</v>
      </c>
      <c r="D312" s="1">
        <v>8434</v>
      </c>
      <c r="E312" s="1">
        <v>84.1</v>
      </c>
      <c r="F312">
        <f>IF(G312="East",1,0)</f>
        <v>0</v>
      </c>
      <c r="G312" s="1" t="s">
        <v>27</v>
      </c>
      <c r="H312">
        <f>149038.0278+1.183033881*C312+33.94798174*D312+2804.165526*E312-16716.89105*F312</f>
        <v>739044.46177625889</v>
      </c>
      <c r="I312">
        <f>B312-H312</f>
        <v>81474.578223741148</v>
      </c>
    </row>
    <row r="313" spans="1:9">
      <c r="A313" s="1" t="s">
        <v>32</v>
      </c>
      <c r="B313" s="1">
        <v>657429.18000000005</v>
      </c>
      <c r="C313" s="1">
        <v>68077.539999999994</v>
      </c>
      <c r="D313" s="1">
        <v>3360</v>
      </c>
      <c r="E313" s="1">
        <v>88.2</v>
      </c>
      <c r="F313">
        <f>IF(G313="East",1,0)</f>
        <v>1</v>
      </c>
      <c r="G313" s="1" t="s">
        <v>15</v>
      </c>
      <c r="H313">
        <f>149038.0278+1.183033881*C313+33.94798174*D313+2804.165526*E313-16716.89105*F313</f>
        <v>574251.79114473285</v>
      </c>
      <c r="I313">
        <f>B313-H313</f>
        <v>83177.3888552672</v>
      </c>
    </row>
    <row r="314" spans="1:9">
      <c r="A314" s="1" t="s">
        <v>42</v>
      </c>
      <c r="B314" s="1">
        <v>727241.86</v>
      </c>
      <c r="C314" s="1">
        <v>72731.14</v>
      </c>
      <c r="D314" s="1">
        <v>4644</v>
      </c>
      <c r="E314" s="1">
        <v>87.1</v>
      </c>
      <c r="F314">
        <f>IF(G314="East",1,0)</f>
        <v>0</v>
      </c>
      <c r="G314" s="1" t="s">
        <v>27</v>
      </c>
      <c r="H314">
        <f>149038.0278+1.183033881*C314+33.94798174*D314+2804.165526*E314-16716.89105*F314</f>
        <v>636978.67513891438</v>
      </c>
      <c r="I314">
        <f>B314-H314</f>
        <v>90263.18486108561</v>
      </c>
    </row>
    <row r="315" spans="1:9">
      <c r="A315" s="1" t="s">
        <v>86</v>
      </c>
      <c r="B315" s="1">
        <v>840108.12</v>
      </c>
      <c r="C315" s="1">
        <v>65272.58</v>
      </c>
      <c r="D315" s="1">
        <v>8165</v>
      </c>
      <c r="E315" s="1">
        <v>87.8</v>
      </c>
      <c r="F315">
        <f>IF(G315="East",1,0)</f>
        <v>0</v>
      </c>
      <c r="G315" s="1" t="s">
        <v>24</v>
      </c>
      <c r="H315">
        <f>149038.0278+1.183033881*C315+33.94798174*D315+2804.165526*E315-16716.89105*F315</f>
        <v>749648.70553018292</v>
      </c>
      <c r="I315">
        <f>B315-H315</f>
        <v>90459.414469817071</v>
      </c>
    </row>
    <row r="316" spans="1:9">
      <c r="A316" s="1" t="s">
        <v>85</v>
      </c>
      <c r="B316" s="1">
        <v>799046.94</v>
      </c>
      <c r="C316" s="1">
        <v>63582.11</v>
      </c>
      <c r="D316" s="1">
        <v>6856</v>
      </c>
      <c r="E316" s="1">
        <v>89.5</v>
      </c>
      <c r="F316">
        <f>IF(G316="East",1,0)</f>
        <v>0</v>
      </c>
      <c r="G316" s="1" t="s">
        <v>24</v>
      </c>
      <c r="H316">
        <f>149038.0278+1.183033881*C316+33.94798174*D316+2804.165526*E316-16716.89105*F316</f>
        <v>707977.99554190889</v>
      </c>
      <c r="I316">
        <f>B316-H316</f>
        <v>91068.944458091049</v>
      </c>
    </row>
    <row r="317" spans="1:9">
      <c r="A317" s="1" t="s">
        <v>53</v>
      </c>
      <c r="B317" s="1">
        <v>914544.17</v>
      </c>
      <c r="C317" s="1">
        <v>61541.21</v>
      </c>
      <c r="D317" s="1">
        <v>10396</v>
      </c>
      <c r="E317" s="1">
        <v>88.1</v>
      </c>
      <c r="F317">
        <f>IF(G317="East",1,0)</f>
        <v>0</v>
      </c>
      <c r="G317" s="1" t="s">
        <v>24</v>
      </c>
      <c r="H317">
        <f>149038.0278+1.183033881*C317+33.94798174*D317+2804.165526*E317-16716.89105*F317</f>
        <v>821813.56531737605</v>
      </c>
      <c r="I317">
        <f>B317-H317</f>
        <v>92730.604682623991</v>
      </c>
    </row>
    <row r="318" spans="1:9">
      <c r="A318" s="1" t="s">
        <v>94</v>
      </c>
      <c r="B318" s="1">
        <v>813316.71</v>
      </c>
      <c r="C318" s="1">
        <v>56737.3</v>
      </c>
      <c r="D318" s="1">
        <v>8300</v>
      </c>
      <c r="E318" s="1">
        <v>83.2</v>
      </c>
      <c r="F318">
        <f>IF(G318="East",1,0)</f>
        <v>1</v>
      </c>
      <c r="G318" s="1" t="s">
        <v>15</v>
      </c>
      <c r="H318">
        <f>149038.0278+1.183033881*C318+33.94798174*D318+2804.165526*E318-16716.89105*F318</f>
        <v>714518.10517166136</v>
      </c>
      <c r="I318">
        <f>B318-H318</f>
        <v>98798.604828338604</v>
      </c>
    </row>
    <row r="319" spans="1:9">
      <c r="A319" s="1" t="s">
        <v>72</v>
      </c>
      <c r="B319" s="1">
        <v>787715.51</v>
      </c>
      <c r="C319" s="1">
        <v>78111.97</v>
      </c>
      <c r="D319" s="1">
        <v>6389</v>
      </c>
      <c r="E319" s="1">
        <v>83.9</v>
      </c>
      <c r="F319">
        <f>IF(G319="East",1,0)</f>
        <v>1</v>
      </c>
      <c r="G319" s="1" t="s">
        <v>15</v>
      </c>
      <c r="H319">
        <f>149038.0278+1.183033881*C319+33.94798174*D319+2804.165526*E319-16716.89105*F319</f>
        <v>676893.38673991559</v>
      </c>
      <c r="I319">
        <f>B319-H319</f>
        <v>110822.12326008442</v>
      </c>
    </row>
    <row r="320" spans="1:9">
      <c r="A320" s="1" t="s">
        <v>47</v>
      </c>
      <c r="B320" s="1">
        <v>625514.04</v>
      </c>
      <c r="C320" s="1">
        <v>32266.639999999999</v>
      </c>
      <c r="D320" s="1">
        <v>2414</v>
      </c>
      <c r="E320" s="1">
        <v>92.1</v>
      </c>
      <c r="F320">
        <f>IF(G320="East",1,0)</f>
        <v>1</v>
      </c>
      <c r="G320" s="1" t="s">
        <v>15</v>
      </c>
      <c r="H320">
        <f>149038.0278+1.183033881*C320+33.94798174*D320+2804.165526*E320-16716.89105*F320</f>
        <v>510707.73796098982</v>
      </c>
      <c r="I320">
        <f>B320-H320</f>
        <v>114806.30203901022</v>
      </c>
    </row>
    <row r="321" spans="1:9">
      <c r="A321" s="1" t="s">
        <v>49</v>
      </c>
      <c r="B321" s="1">
        <v>713611.16</v>
      </c>
      <c r="C321" s="1">
        <v>52758.01</v>
      </c>
      <c r="D321" s="1">
        <v>4063</v>
      </c>
      <c r="E321" s="1">
        <v>91.7</v>
      </c>
      <c r="F321">
        <f>IF(G321="East",1,0)</f>
        <v>1</v>
      </c>
      <c r="G321" s="1" t="s">
        <v>15</v>
      </c>
      <c r="H321">
        <f>149038.0278+1.183033881*C321+33.94798174*D321+2804.165526*E321-16716.89105*F321</f>
        <v>589808.27861795691</v>
      </c>
      <c r="I321">
        <f>B321-H321</f>
        <v>123802.88138204312</v>
      </c>
    </row>
  </sheetData>
  <sortState xmlns:xlrd2="http://schemas.microsoft.com/office/spreadsheetml/2017/richdata2" ref="A2:I322">
    <sortCondition ref="I2:I3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orignal_data</vt:lpstr>
      <vt:lpstr>cleaned_data</vt:lpstr>
      <vt:lpstr>dummy_variables </vt:lpstr>
      <vt:lpstr>footfall_regression </vt:lpstr>
      <vt:lpstr>marketing_regression</vt:lpstr>
      <vt:lpstr>simple_regression </vt:lpstr>
      <vt:lpstr>multiple_regression_output</vt:lpstr>
      <vt:lpstr>multiple_regression </vt:lpstr>
      <vt:lpstr>prediction_residual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2026-06-19T03:34:23Z</dcterms:created>
  <dcterms:modified xsi:type="dcterms:W3CDTF">2026-06-19T17:33:19Z</dcterms:modified>
</cp:coreProperties>
</file>